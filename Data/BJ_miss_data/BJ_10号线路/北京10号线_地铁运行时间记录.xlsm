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_file\小米\数据9.14\BJ_Subway_DataSet\BJ_10号线路\"/>
    </mc:Choice>
  </mc:AlternateContent>
  <xr:revisionPtr revIDLastSave="0" documentId="13_ncr:1_{67BD3613-7A47-402A-B566-EC7AE826E2BF}" xr6:coauthVersionLast="47" xr6:coauthVersionMax="47" xr10:uidLastSave="{00000000-0000-0000-0000-000000000000}"/>
  <bookViews>
    <workbookView xWindow="45960" yWindow="-120" windowWidth="29040" windowHeight="15720" tabRatio="802" firstSheet="2" activeTab="2" xr2:uid="{00000000-000D-0000-FFFF-FFFF00000000}"/>
  </bookViews>
  <sheets>
    <sheet name="补充说明" sheetId="21" state="hidden" r:id="rId1"/>
    <sheet name="修改日志" sheetId="22" state="hidden" r:id="rId2"/>
    <sheet name="地铁运行时间记录" sheetId="232" r:id="rId3"/>
    <sheet name="4.5" sheetId="65" state="hidden" r:id="rId4"/>
    <sheet name="CM紧急呼叫" sheetId="169" state="hidden" r:id="rId5"/>
    <sheet name="CU紧急呼叫" sheetId="170" state="hidden" r:id="rId6"/>
    <sheet name="1014工业园片区山东科技大学" sheetId="171" state="hidden" r:id="rId7"/>
    <sheet name="1023苏州科技大" sheetId="199" state="hidden" r:id="rId8"/>
    <sheet name="1024苏州大学" sheetId="200" state="hidden" r:id="rId9"/>
    <sheet name="1024三香路" sheetId="201" state="hidden" r:id="rId10"/>
  </sheets>
  <definedNames>
    <definedName name="通过" localSheetId="3">#REF!</definedName>
    <definedName name="通过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201" l="1"/>
  <c r="F33" i="201"/>
  <c r="I32" i="201"/>
  <c r="E32" i="201"/>
  <c r="Q31" i="201"/>
  <c r="O31" i="201"/>
  <c r="I31" i="201"/>
  <c r="E31" i="201"/>
  <c r="Q30" i="201"/>
  <c r="O30" i="201"/>
  <c r="I30" i="201"/>
  <c r="E30" i="201"/>
  <c r="Q29" i="201"/>
  <c r="O29" i="201"/>
  <c r="I29" i="201"/>
  <c r="E29" i="201"/>
  <c r="Q28" i="201"/>
  <c r="O28" i="201"/>
  <c r="I28" i="201"/>
  <c r="E28" i="201"/>
  <c r="Q27" i="201"/>
  <c r="O27" i="201"/>
  <c r="I27" i="201"/>
  <c r="E27" i="201"/>
  <c r="Q26" i="201"/>
  <c r="O26" i="201"/>
  <c r="I26" i="201"/>
  <c r="E26" i="201"/>
  <c r="Q25" i="201"/>
  <c r="O25" i="201"/>
  <c r="I25" i="201"/>
  <c r="E25" i="201"/>
  <c r="Q24" i="201"/>
  <c r="O24" i="201"/>
  <c r="I24" i="201"/>
  <c r="E24" i="201"/>
  <c r="Q23" i="201"/>
  <c r="O23" i="201"/>
  <c r="I23" i="201"/>
  <c r="E23" i="201"/>
  <c r="Q22" i="201"/>
  <c r="O22" i="201"/>
  <c r="I22" i="201"/>
  <c r="E22" i="201"/>
  <c r="Q21" i="201"/>
  <c r="O21" i="201"/>
  <c r="I21" i="201"/>
  <c r="E21" i="201"/>
  <c r="Q20" i="201"/>
  <c r="O20" i="201"/>
  <c r="I20" i="201"/>
  <c r="E20" i="201"/>
  <c r="Q19" i="201"/>
  <c r="O19" i="201"/>
  <c r="I19" i="201"/>
  <c r="E19" i="201"/>
  <c r="Q18" i="201"/>
  <c r="O18" i="201"/>
  <c r="I18" i="201"/>
  <c r="E18" i="201"/>
  <c r="Q17" i="201"/>
  <c r="O17" i="201"/>
  <c r="I17" i="201"/>
  <c r="E17" i="201"/>
  <c r="Q16" i="201"/>
  <c r="O16" i="201"/>
  <c r="I16" i="201"/>
  <c r="E16" i="201"/>
  <c r="Q15" i="201"/>
  <c r="O15" i="201"/>
  <c r="I15" i="201"/>
  <c r="E15" i="201"/>
  <c r="Q14" i="201"/>
  <c r="O14" i="201"/>
  <c r="I14" i="201"/>
  <c r="E14" i="201"/>
  <c r="Q13" i="201"/>
  <c r="O13" i="201"/>
  <c r="I13" i="201"/>
  <c r="E13" i="201"/>
  <c r="Q12" i="201"/>
  <c r="O12" i="201"/>
  <c r="O32" i="201" s="1"/>
  <c r="J33" i="200"/>
  <c r="F33" i="200"/>
  <c r="I32" i="200"/>
  <c r="E32" i="200"/>
  <c r="Q31" i="200"/>
  <c r="O31" i="200"/>
  <c r="I31" i="200"/>
  <c r="E31" i="200"/>
  <c r="Q30" i="200"/>
  <c r="O30" i="200"/>
  <c r="I30" i="200"/>
  <c r="E30" i="200"/>
  <c r="Q29" i="200"/>
  <c r="O29" i="200"/>
  <c r="I29" i="200"/>
  <c r="E29" i="200"/>
  <c r="Q28" i="200"/>
  <c r="O28" i="200"/>
  <c r="I28" i="200"/>
  <c r="E28" i="200"/>
  <c r="Q27" i="200"/>
  <c r="O27" i="200"/>
  <c r="I27" i="200"/>
  <c r="E27" i="200"/>
  <c r="Q26" i="200"/>
  <c r="O26" i="200"/>
  <c r="I26" i="200"/>
  <c r="E26" i="200"/>
  <c r="Q25" i="200"/>
  <c r="O25" i="200"/>
  <c r="I25" i="200"/>
  <c r="E25" i="200"/>
  <c r="Q24" i="200"/>
  <c r="O24" i="200"/>
  <c r="I24" i="200"/>
  <c r="E24" i="200"/>
  <c r="Q23" i="200"/>
  <c r="O23" i="200"/>
  <c r="I23" i="200"/>
  <c r="E23" i="200"/>
  <c r="Q22" i="200"/>
  <c r="O22" i="200"/>
  <c r="I22" i="200"/>
  <c r="E22" i="200"/>
  <c r="Q21" i="200"/>
  <c r="O21" i="200"/>
  <c r="I21" i="200"/>
  <c r="E21" i="200"/>
  <c r="Q20" i="200"/>
  <c r="O20" i="200"/>
  <c r="I20" i="200"/>
  <c r="E20" i="200"/>
  <c r="Q19" i="200"/>
  <c r="O19" i="200"/>
  <c r="I19" i="200"/>
  <c r="E19" i="200"/>
  <c r="Q18" i="200"/>
  <c r="O18" i="200"/>
  <c r="I18" i="200"/>
  <c r="E18" i="200"/>
  <c r="Q17" i="200"/>
  <c r="O17" i="200"/>
  <c r="I17" i="200"/>
  <c r="E17" i="200"/>
  <c r="Q16" i="200"/>
  <c r="O16" i="200"/>
  <c r="I16" i="200"/>
  <c r="E16" i="200"/>
  <c r="Q15" i="200"/>
  <c r="O15" i="200"/>
  <c r="I15" i="200"/>
  <c r="E15" i="200"/>
  <c r="Q14" i="200"/>
  <c r="O14" i="200"/>
  <c r="I14" i="200"/>
  <c r="E14" i="200"/>
  <c r="Q13" i="200"/>
  <c r="O13" i="200"/>
  <c r="I13" i="200"/>
  <c r="E13" i="200"/>
  <c r="Q12" i="200"/>
  <c r="O12" i="200"/>
  <c r="J33" i="199"/>
  <c r="F33" i="199"/>
  <c r="I32" i="199"/>
  <c r="E32" i="199"/>
  <c r="Q31" i="199"/>
  <c r="O31" i="199"/>
  <c r="I31" i="199"/>
  <c r="E31" i="199"/>
  <c r="Q30" i="199"/>
  <c r="O30" i="199"/>
  <c r="I30" i="199"/>
  <c r="E30" i="199"/>
  <c r="Q29" i="199"/>
  <c r="O29" i="199"/>
  <c r="I29" i="199"/>
  <c r="E29" i="199"/>
  <c r="Q28" i="199"/>
  <c r="O28" i="199"/>
  <c r="I28" i="199"/>
  <c r="E28" i="199"/>
  <c r="Q27" i="199"/>
  <c r="O27" i="199"/>
  <c r="I27" i="199"/>
  <c r="E27" i="199"/>
  <c r="Q26" i="199"/>
  <c r="O26" i="199"/>
  <c r="I26" i="199"/>
  <c r="E26" i="199"/>
  <c r="Q25" i="199"/>
  <c r="O25" i="199"/>
  <c r="I25" i="199"/>
  <c r="E25" i="199"/>
  <c r="Q24" i="199"/>
  <c r="O24" i="199"/>
  <c r="I24" i="199"/>
  <c r="E24" i="199"/>
  <c r="Q23" i="199"/>
  <c r="O23" i="199"/>
  <c r="I23" i="199"/>
  <c r="E23" i="199"/>
  <c r="Q22" i="199"/>
  <c r="O22" i="199"/>
  <c r="I22" i="199"/>
  <c r="E22" i="199"/>
  <c r="Q21" i="199"/>
  <c r="O21" i="199"/>
  <c r="I21" i="199"/>
  <c r="E21" i="199"/>
  <c r="Q20" i="199"/>
  <c r="O20" i="199"/>
  <c r="I20" i="199"/>
  <c r="E20" i="199"/>
  <c r="Q19" i="199"/>
  <c r="O19" i="199"/>
  <c r="I19" i="199"/>
  <c r="E19" i="199"/>
  <c r="Q18" i="199"/>
  <c r="O18" i="199"/>
  <c r="I18" i="199"/>
  <c r="E18" i="199"/>
  <c r="Q17" i="199"/>
  <c r="O17" i="199"/>
  <c r="I17" i="199"/>
  <c r="E17" i="199"/>
  <c r="Q16" i="199"/>
  <c r="O16" i="199"/>
  <c r="I16" i="199"/>
  <c r="E16" i="199"/>
  <c r="Q15" i="199"/>
  <c r="O15" i="199"/>
  <c r="I15" i="199"/>
  <c r="E15" i="199"/>
  <c r="Q14" i="199"/>
  <c r="O14" i="199"/>
  <c r="I14" i="199"/>
  <c r="E14" i="199"/>
  <c r="Q13" i="199"/>
  <c r="O13" i="199"/>
  <c r="I13" i="199"/>
  <c r="E13" i="199"/>
  <c r="E33" i="199" s="1"/>
  <c r="Q12" i="199"/>
  <c r="O12" i="199"/>
  <c r="J35" i="171"/>
  <c r="F35" i="171"/>
  <c r="I34" i="171"/>
  <c r="E34" i="171"/>
  <c r="I33" i="171"/>
  <c r="E33" i="171"/>
  <c r="I32" i="171"/>
  <c r="E32" i="171"/>
  <c r="I31" i="171"/>
  <c r="E31" i="171"/>
  <c r="I30" i="171"/>
  <c r="E30" i="171"/>
  <c r="I29" i="171"/>
  <c r="E29" i="171"/>
  <c r="I28" i="171"/>
  <c r="E28" i="171"/>
  <c r="I27" i="171"/>
  <c r="E27" i="171"/>
  <c r="I26" i="171"/>
  <c r="E26" i="171"/>
  <c r="I25" i="171"/>
  <c r="E25" i="171"/>
  <c r="I24" i="171"/>
  <c r="E24" i="171"/>
  <c r="I23" i="171"/>
  <c r="E23" i="171"/>
  <c r="I22" i="171"/>
  <c r="E22" i="171"/>
  <c r="I21" i="171"/>
  <c r="E21" i="171"/>
  <c r="I20" i="171"/>
  <c r="E20" i="171"/>
  <c r="I19" i="171"/>
  <c r="E19" i="171"/>
  <c r="I18" i="171"/>
  <c r="E18" i="171"/>
  <c r="I17" i="171"/>
  <c r="E17" i="171"/>
  <c r="I16" i="171"/>
  <c r="E16" i="171"/>
  <c r="I15" i="171"/>
  <c r="E15" i="171"/>
  <c r="E6" i="65"/>
  <c r="C6" i="65"/>
  <c r="E5" i="65"/>
  <c r="C5" i="65"/>
  <c r="I33" i="199" l="1"/>
  <c r="I33" i="200"/>
  <c r="E33" i="201"/>
  <c r="E33" i="200"/>
  <c r="E35" i="171"/>
  <c r="Q32" i="200"/>
  <c r="I35" i="171"/>
  <c r="O32" i="199"/>
  <c r="Q32" i="199"/>
  <c r="Q32" i="201"/>
  <c r="I33" i="201"/>
  <c r="O32" i="200"/>
</calcChain>
</file>

<file path=xl/sharedStrings.xml><?xml version="1.0" encoding="utf-8"?>
<sst xmlns="http://schemas.openxmlformats.org/spreadsheetml/2006/main" count="371" uniqueCount="105">
  <si>
    <t>测试前应准备好用例2.1所需的2个彩信</t>
  </si>
  <si>
    <t>1.2表格的自动选网情况下，如果发生了3G-2G的切换，在现象描述里记录该情况。</t>
  </si>
  <si>
    <t>3.2的指定文件为一个统一的文件即可，最好同时下载2个不同源的文件</t>
  </si>
  <si>
    <t>1.2和5.3请于测试结束后将BC两列隐藏，若在测试中表格的行数不够，请自行添加并修改公式</t>
  </si>
  <si>
    <t>7.2和7.3 的MOS记录 每2分钟记录一个大概的MOS 最后计算出平均值</t>
  </si>
  <si>
    <t>7.5每3分钟记录一个大概的MOS 最后计算出平均值</t>
  </si>
  <si>
    <t>测试结束后请删除本sheet</t>
  </si>
  <si>
    <t>版本1.1</t>
  </si>
  <si>
    <t>修改日期：2011-2-21</t>
  </si>
  <si>
    <t>改动：</t>
  </si>
  <si>
    <t>增加补充说明sheet</t>
  </si>
  <si>
    <t>增加5.1记录表格的所处网络列</t>
  </si>
  <si>
    <t>增加1.2和5.3记录时间的两列</t>
  </si>
  <si>
    <t>改变6.1计算平均速率的公式</t>
  </si>
  <si>
    <t>测试机</t>
  </si>
  <si>
    <t>4.5 CSFB异常测试</t>
  </si>
  <si>
    <t>4.5.1 CSFB主叫异常流程测试，CMSR发送前挂断</t>
  </si>
  <si>
    <t>TD-LTE和GSM配置邻区平均返回时延（s）</t>
  </si>
  <si>
    <t>成功率：</t>
  </si>
  <si>
    <t>TD-LTE和GSM未配置邻区平均返回时延（s）</t>
  </si>
  <si>
    <t>序号</t>
  </si>
  <si>
    <t>配置邻区2G网络重选回LTE网络的时延（s）</t>
  </si>
  <si>
    <t>重选是否成功</t>
  </si>
  <si>
    <t>未配置邻区2G网络重选回LTE网络的时延（s）</t>
  </si>
  <si>
    <t>备注</t>
  </si>
  <si>
    <t>Y</t>
  </si>
  <si>
    <t>N</t>
  </si>
  <si>
    <t>号码</t>
  </si>
  <si>
    <t>起呼时间</t>
  </si>
  <si>
    <t>测试机接通时间</t>
  </si>
  <si>
    <t>对比机接通时间</t>
  </si>
  <si>
    <t>CM</t>
  </si>
  <si>
    <r>
      <rPr>
        <sz val="11"/>
        <color theme="1"/>
        <rFont val="宋体"/>
        <family val="3"/>
        <charset val="134"/>
        <scheme val="minor"/>
      </rPr>
      <t>2019/10/13  14:40:31</t>
    </r>
    <r>
      <rPr>
        <sz val="11"/>
        <color theme="1"/>
        <rFont val="宋体"/>
        <family val="3"/>
        <charset val="134"/>
        <scheme val="minor"/>
      </rPr>
      <t>提示匪警请拨110火警请拨119急救中心请拨120</t>
    </r>
  </si>
  <si>
    <t>CU</t>
  </si>
  <si>
    <t>2019/10/13  15:50:16提示匪警请拨110火警请拨119急救中心请拨120</t>
  </si>
  <si>
    <t>2019/10/13  15:50:17提示匪警请拨110火警请拨119急救中心请拨120</t>
  </si>
  <si>
    <t>CT_NSA_单卡_短信收发成功率_动态_工业园片区山东科技大学_20191014</t>
  </si>
  <si>
    <t>CT_NSA_单卡_彩信收发成功率_动态_工业园片区山东科技大学_20191014</t>
  </si>
  <si>
    <t>次数</t>
  </si>
  <si>
    <t>发送时间</t>
  </si>
  <si>
    <t>测试机接收</t>
  </si>
  <si>
    <t>是否成功</t>
  </si>
  <si>
    <t>对比机接收</t>
  </si>
  <si>
    <t>是</t>
  </si>
  <si>
    <t>CT_NSA_单卡_网页浏览成功率_动态_工业园片区山东科技大学_20191014</t>
  </si>
  <si>
    <t>网页</t>
  </si>
  <si>
    <t>对比机</t>
  </si>
  <si>
    <t>百度</t>
  </si>
  <si>
    <t>开始时间</t>
  </si>
  <si>
    <t>结束时间</t>
  </si>
  <si>
    <t xml:space="preserve">时延 </t>
  </si>
  <si>
    <t>平均值</t>
  </si>
  <si>
    <t>CM_NSA_单卡_短信收发成功率_静态_苏州科技大_20191023</t>
  </si>
  <si>
    <t>CM_NSA_单卡_彩信收发成功率_静态_苏州科技大_20191023</t>
  </si>
  <si>
    <t>CM_NSA_单卡_网页浏览成功率_静态_苏州科技大_20191023</t>
  </si>
  <si>
    <t>CM_NSA_单卡_开关5G搜网成功率_静态_苏州科技大_20191023</t>
  </si>
  <si>
    <t>开始</t>
  </si>
  <si>
    <t>测试机卡1</t>
  </si>
  <si>
    <t>时延</t>
  </si>
  <si>
    <t>对比机卡1</t>
  </si>
  <si>
    <t>平均时延</t>
  </si>
  <si>
    <t>CM_NSA_单卡_3-2_ENDC VOLTE动态主被叫_动态_苏州科技大_20191023</t>
  </si>
  <si>
    <t>拨通时间</t>
  </si>
  <si>
    <t>测试机问题</t>
  </si>
  <si>
    <t>对比机问题</t>
  </si>
  <si>
    <t>CM_NSA_单卡_短信收发成功率_静态_苏州大学_20191024</t>
  </si>
  <si>
    <t>CM_NSA_单卡_彩信收发成功率_静态_苏州大学_20191024</t>
  </si>
  <si>
    <t>CM_NSA_单卡_网页浏览成功率_静态_苏州大学_20191024</t>
  </si>
  <si>
    <t>CM_NSA_单卡_开关5G搜网成功率_静态_苏州大学_20191024</t>
  </si>
  <si>
    <t>&lt;苏大学生公寓&gt;对比机驻上4G后回GSM,最后驻上5G。测试机正常</t>
  </si>
  <si>
    <t>CM_NSA_单卡_3-2_ENDC VOLTE动态主被叫_动态_苏州大学_20191024</t>
  </si>
  <si>
    <t>CM_NSA_单卡_紧急呼叫_静态_20191024</t>
  </si>
  <si>
    <t>CM_NSA_单卡_短信收发成功率_静态_三香路_20191024</t>
  </si>
  <si>
    <t>CM_NSA_单卡_彩信收发成功率_静态_三香路_20191024</t>
  </si>
  <si>
    <t>CM_NSA_单卡_网页浏览成功率_静态_三香路_20191024</t>
  </si>
  <si>
    <t>CM_NSA_单卡_开关5G搜网成功率_静态_三香路_20191024</t>
  </si>
  <si>
    <t>&lt;干将西路宏音琴行&gt;对比机驻上4G后回GSM,最后驻上5G。测试机正常</t>
  </si>
  <si>
    <t>CM_NSA_单卡_3-2_ENDC VOLTE动态主被叫_动态_三香路_20191024</t>
  </si>
  <si>
    <t xml:space="preserve"> 16:01:09对比机被叫端切G</t>
  </si>
  <si>
    <t>牡丹园</t>
  </si>
  <si>
    <t>健德门</t>
  </si>
  <si>
    <t>北土城</t>
  </si>
  <si>
    <t>安贞门</t>
  </si>
  <si>
    <t>惠新西街南口</t>
  </si>
  <si>
    <t>芍药居</t>
  </si>
  <si>
    <t>太阳宫</t>
  </si>
  <si>
    <t>三元桥</t>
  </si>
  <si>
    <t>亮马桥</t>
  </si>
  <si>
    <t>农业展览馆</t>
  </si>
  <si>
    <t>团结湖</t>
  </si>
  <si>
    <t>呼家楼</t>
  </si>
  <si>
    <t>金台夕照</t>
  </si>
  <si>
    <t>国贸</t>
  </si>
  <si>
    <t>双井</t>
  </si>
  <si>
    <t>劲松</t>
  </si>
  <si>
    <t>潘家园</t>
  </si>
  <si>
    <t>十里河</t>
  </si>
  <si>
    <t>分钟寺</t>
  </si>
  <si>
    <t>成寿寺</t>
  </si>
  <si>
    <t>宋家庄</t>
  </si>
  <si>
    <t>到站开门时间</t>
    <phoneticPr fontId="40" type="noConversion"/>
  </si>
  <si>
    <t>站台名</t>
    <phoneticPr fontId="40" type="noConversion"/>
  </si>
  <si>
    <t>西土城</t>
    <phoneticPr fontId="40" type="noConversion"/>
  </si>
  <si>
    <t>石榴庄</t>
    <phoneticPr fontId="40" type="noConversion"/>
  </si>
  <si>
    <t>关门离站时间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</si>
</sst>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F400]h:mm:ss\ AM/PM"/>
    <numFmt numFmtId="177" formatCode="0.00_ "/>
    <numFmt numFmtId="178" formatCode="0.000_);[Red]\(0.000\)"/>
    <numFmt numFmtId="179" formatCode="0.0_);[Red]\(0.0\)"/>
    <numFmt numFmtId="180" formatCode="0.00_);[Red]\(0.00\)"/>
    <numFmt numFmtId="181" formatCode="0_);[Red]\(0\)"/>
    <numFmt numFmtId="182" formatCode="_ \¥* #,##0.00_ ;_ \¥* \-#,##0.00_ ;_ \¥* &quot;-&quot;??_ ;_ @_ "/>
    <numFmt numFmtId="183" formatCode="hh:mm:ss"/>
  </numFmts>
  <fonts count="44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4"/>
      <color theme="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0"/>
      <color theme="0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2"/>
      <name val="Times New Roman"/>
      <family val="1"/>
    </font>
    <font>
      <sz val="11"/>
      <color indexed="8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name val="Arial"/>
      <family val="2"/>
    </font>
    <font>
      <u/>
      <sz val="12"/>
      <color indexed="12"/>
      <name val="宋体"/>
      <family val="3"/>
      <charset val="134"/>
    </font>
    <font>
      <sz val="10"/>
      <name val="Helv"/>
      <family val="2"/>
    </font>
    <font>
      <sz val="9"/>
      <name val="Geneva"/>
      <family val="1"/>
    </font>
    <font>
      <sz val="11"/>
      <color indexed="1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2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i/>
      <sz val="11"/>
      <color indexed="23"/>
      <name val="宋体"/>
      <family val="3"/>
      <charset val="134"/>
    </font>
    <font>
      <sz val="11"/>
      <color rgb="FF000000"/>
      <name val="等线"/>
      <family val="3"/>
      <charset val="134"/>
    </font>
    <font>
      <sz val="12"/>
      <name val="FrutigerNext LT Regular"/>
      <family val="1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Tahoma"/>
      <family val="2"/>
    </font>
    <font>
      <sz val="10"/>
      <color theme="1"/>
      <name val="宋体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8596148564104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05">
    <xf numFmtId="0" fontId="0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8" fillId="0" borderId="0"/>
    <xf numFmtId="0" fontId="3" fillId="0" borderId="0">
      <alignment vertical="center"/>
    </xf>
    <xf numFmtId="0" fontId="16" fillId="0" borderId="0">
      <alignment vertical="center"/>
    </xf>
    <xf numFmtId="0" fontId="37" fillId="0" borderId="0">
      <alignment vertical="center"/>
    </xf>
    <xf numFmtId="0" fontId="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" fillId="0" borderId="0">
      <alignment vertical="center"/>
    </xf>
    <xf numFmtId="0" fontId="1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2" fillId="0" borderId="0">
      <alignment vertical="center"/>
    </xf>
    <xf numFmtId="0" fontId="3" fillId="0" borderId="0"/>
    <xf numFmtId="0" fontId="3" fillId="0" borderId="0"/>
    <xf numFmtId="0" fontId="16" fillId="0" borderId="0">
      <alignment vertical="center"/>
    </xf>
    <xf numFmtId="0" fontId="12" fillId="0" borderId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" fillId="0" borderId="0"/>
    <xf numFmtId="0" fontId="3" fillId="0" borderId="0" applyNumberFormat="0" applyFill="0" applyBorder="0" applyAlignment="0" applyProtection="0"/>
    <xf numFmtId="0" fontId="12" fillId="0" borderId="0"/>
    <xf numFmtId="0" fontId="3" fillId="0" borderId="0"/>
    <xf numFmtId="0" fontId="17" fillId="1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17" fillId="12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9" fillId="0" borderId="0">
      <alignment vertical="center"/>
    </xf>
    <xf numFmtId="0" fontId="12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 applyNumberFormat="0" applyFill="0" applyBorder="0" applyAlignment="0" applyProtection="0"/>
    <xf numFmtId="0" fontId="3" fillId="0" borderId="0">
      <alignment vertical="center"/>
    </xf>
    <xf numFmtId="176" fontId="12" fillId="0" borderId="0"/>
    <xf numFmtId="176" fontId="12" fillId="0" borderId="0"/>
    <xf numFmtId="0" fontId="12" fillId="0" borderId="0">
      <alignment vertical="center"/>
    </xf>
    <xf numFmtId="0" fontId="12" fillId="0" borderId="0"/>
    <xf numFmtId="0" fontId="12" fillId="0" borderId="0">
      <alignment vertical="center"/>
    </xf>
    <xf numFmtId="0" fontId="12" fillId="0" borderId="0">
      <alignment vertical="center"/>
    </xf>
    <xf numFmtId="0" fontId="3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3" fillId="0" borderId="0">
      <alignment vertical="center"/>
    </xf>
    <xf numFmtId="0" fontId="16" fillId="28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9" fillId="0" borderId="0"/>
    <xf numFmtId="0" fontId="14" fillId="10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/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2" fillId="0" borderId="0">
      <alignment vertical="center"/>
    </xf>
    <xf numFmtId="0" fontId="14" fillId="10" borderId="0" applyNumberFormat="0" applyBorder="0" applyAlignment="0" applyProtection="0">
      <alignment vertical="center"/>
    </xf>
    <xf numFmtId="0" fontId="3" fillId="0" borderId="0">
      <alignment vertical="center"/>
    </xf>
    <xf numFmtId="0" fontId="14" fillId="10" borderId="0" applyNumberFormat="0" applyBorder="0" applyAlignment="0" applyProtection="0">
      <alignment vertical="center"/>
    </xf>
    <xf numFmtId="0" fontId="12" fillId="0" borderId="0">
      <alignment vertical="center"/>
    </xf>
    <xf numFmtId="0" fontId="14" fillId="10" borderId="0" applyNumberFormat="0" applyBorder="0" applyAlignment="0" applyProtection="0">
      <alignment vertical="center"/>
    </xf>
    <xf numFmtId="0" fontId="12" fillId="0" borderId="0">
      <alignment vertical="center"/>
    </xf>
    <xf numFmtId="0" fontId="35" fillId="0" borderId="0"/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33" fillId="29" borderId="16" applyNumberFormat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32" fillId="29" borderId="15" applyNumberFormat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3" fillId="0" borderId="0"/>
    <xf numFmtId="0" fontId="14" fillId="10" borderId="0" applyNumberFormat="0" applyBorder="0" applyAlignment="0" applyProtection="0">
      <alignment vertical="center"/>
    </xf>
    <xf numFmtId="9" fontId="3" fillId="0" borderId="0" applyFont="0" applyFill="0" applyBorder="0" applyAlignment="0" applyProtection="0"/>
    <xf numFmtId="0" fontId="17" fillId="1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  <xf numFmtId="0" fontId="31" fillId="0" borderId="14" applyNumberFormat="0" applyFill="0" applyAlignment="0" applyProtection="0">
      <alignment vertical="center"/>
    </xf>
    <xf numFmtId="0" fontId="12" fillId="0" borderId="0">
      <alignment vertical="center"/>
    </xf>
    <xf numFmtId="0" fontId="14" fillId="10" borderId="0" applyNumberFormat="0" applyBorder="0" applyAlignment="0" applyProtection="0">
      <alignment vertical="center"/>
    </xf>
    <xf numFmtId="0" fontId="12" fillId="0" borderId="0"/>
    <xf numFmtId="0" fontId="29" fillId="0" borderId="0" applyNumberFormat="0" applyFill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33" fillId="29" borderId="16" applyNumberFormat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3" fillId="31" borderId="17" applyNumberFormat="0" applyFont="0" applyAlignment="0" applyProtection="0">
      <alignment vertical="center"/>
    </xf>
    <xf numFmtId="0" fontId="3" fillId="0" borderId="0">
      <alignment vertical="center"/>
    </xf>
    <xf numFmtId="0" fontId="3" fillId="31" borderId="17" applyNumberFormat="0" applyFont="0" applyAlignment="0" applyProtection="0">
      <alignment vertical="center"/>
    </xf>
    <xf numFmtId="0" fontId="19" fillId="0" borderId="0"/>
    <xf numFmtId="0" fontId="3" fillId="0" borderId="0">
      <alignment vertical="center"/>
    </xf>
    <xf numFmtId="0" fontId="25" fillId="27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8" fillId="0" borderId="13" applyNumberFormat="0" applyFill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8" fillId="0" borderId="13" applyNumberFormat="0" applyFill="0" applyAlignment="0" applyProtection="0">
      <alignment vertical="center"/>
    </xf>
    <xf numFmtId="0" fontId="34" fillId="30" borderId="15" applyNumberFormat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/>
    <xf numFmtId="0" fontId="26" fillId="0" borderId="11" applyNumberFormat="0" applyFill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24" fillId="26" borderId="10" applyNumberFormat="0" applyAlignment="0" applyProtection="0">
      <alignment vertical="center"/>
    </xf>
    <xf numFmtId="0" fontId="24" fillId="26" borderId="10" applyNumberFormat="0" applyAlignment="0" applyProtection="0">
      <alignment vertical="center"/>
    </xf>
    <xf numFmtId="0" fontId="32" fillId="29" borderId="15" applyNumberFormat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176" fontId="19" fillId="0" borderId="0"/>
    <xf numFmtId="0" fontId="18" fillId="21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34" fillId="30" borderId="15" applyNumberFormat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3" fillId="0" borderId="0"/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23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" fillId="23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182" fontId="12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22" fillId="0" borderId="0"/>
    <xf numFmtId="0" fontId="18" fillId="18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3" fillId="0" borderId="0"/>
    <xf numFmtId="0" fontId="18" fillId="28" borderId="0" applyNumberFormat="0" applyBorder="0" applyAlignment="0" applyProtection="0">
      <alignment vertical="center"/>
    </xf>
    <xf numFmtId="0" fontId="3" fillId="0" borderId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0"/>
    <xf numFmtId="0" fontId="3" fillId="0" borderId="0">
      <alignment vertical="center"/>
    </xf>
    <xf numFmtId="0" fontId="3" fillId="0" borderId="0">
      <alignment vertical="center"/>
    </xf>
    <xf numFmtId="0" fontId="18" fillId="28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2" fillId="0" borderId="0">
      <alignment vertical="center"/>
    </xf>
    <xf numFmtId="0" fontId="16" fillId="13" borderId="0" applyNumberFormat="0" applyBorder="0" applyAlignment="0" applyProtection="0">
      <alignment vertical="center"/>
    </xf>
    <xf numFmtId="0" fontId="16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3" fillId="0" borderId="0"/>
    <xf numFmtId="0" fontId="15" fillId="0" borderId="0" applyBorder="0"/>
    <xf numFmtId="0" fontId="3" fillId="0" borderId="0">
      <alignment vertical="center"/>
    </xf>
    <xf numFmtId="0" fontId="18" fillId="20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3" fillId="0" borderId="0">
      <alignment vertical="center"/>
    </xf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3" fillId="0" borderId="0"/>
    <xf numFmtId="0" fontId="3" fillId="0" borderId="0">
      <alignment vertical="center"/>
    </xf>
    <xf numFmtId="176" fontId="12" fillId="0" borderId="0"/>
    <xf numFmtId="9" fontId="12" fillId="0" borderId="0" applyFont="0" applyFill="0" applyBorder="0" applyAlignment="0" applyProtection="0">
      <alignment vertical="center"/>
    </xf>
    <xf numFmtId="0" fontId="3" fillId="0" borderId="0"/>
    <xf numFmtId="0" fontId="14" fillId="10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0" borderId="0"/>
    <xf numFmtId="0" fontId="3" fillId="0" borderId="0"/>
    <xf numFmtId="0" fontId="16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7" fillId="0" borderId="0">
      <alignment vertical="center"/>
    </xf>
    <xf numFmtId="0" fontId="14" fillId="10" borderId="0" applyNumberFormat="0" applyBorder="0" applyAlignment="0" applyProtection="0">
      <alignment vertical="center"/>
    </xf>
    <xf numFmtId="0" fontId="3" fillId="0" borderId="0"/>
    <xf numFmtId="0" fontId="19" fillId="0" borderId="0"/>
    <xf numFmtId="0" fontId="12" fillId="0" borderId="0">
      <alignment vertical="center"/>
    </xf>
    <xf numFmtId="0" fontId="18" fillId="14" borderId="0" applyNumberFormat="0" applyBorder="0" applyAlignment="0" applyProtection="0">
      <alignment vertical="center"/>
    </xf>
    <xf numFmtId="0" fontId="15" fillId="0" borderId="0"/>
    <xf numFmtId="0" fontId="16" fillId="16" borderId="0" applyNumberFormat="0" applyBorder="0" applyAlignment="0" applyProtection="0">
      <alignment vertical="center"/>
    </xf>
    <xf numFmtId="9" fontId="19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center"/>
    </xf>
    <xf numFmtId="0" fontId="3" fillId="0" borderId="0">
      <alignment vertical="center"/>
    </xf>
  </cellStyleXfs>
  <cellXfs count="8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81" fontId="0" fillId="0" borderId="1" xfId="0" applyNumberForma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3" fontId="0" fillId="0" borderId="1" xfId="0" applyNumberFormat="1" applyBorder="1" applyAlignment="1">
      <alignment horizontal="center"/>
    </xf>
    <xf numFmtId="0" fontId="3" fillId="0" borderId="1" xfId="0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183" fontId="0" fillId="0" borderId="1" xfId="0" applyNumberFormat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183" fontId="0" fillId="4" borderId="1" xfId="0" applyNumberFormat="1" applyFill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0" fontId="0" fillId="2" borderId="1" xfId="0" applyFill="1" applyBorder="1">
      <alignment vertical="center"/>
    </xf>
    <xf numFmtId="179" fontId="0" fillId="0" borderId="1" xfId="0" applyNumberFormat="1" applyBorder="1">
      <alignment vertical="center"/>
    </xf>
    <xf numFmtId="183" fontId="3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183" fontId="3" fillId="0" borderId="1" xfId="0" applyNumberFormat="1" applyFont="1" applyBorder="1" applyAlignment="1">
      <alignment horizontal="left" vertical="center"/>
    </xf>
    <xf numFmtId="0" fontId="0" fillId="4" borderId="1" xfId="0" applyFill="1" applyBorder="1">
      <alignment vertical="center"/>
    </xf>
    <xf numFmtId="0" fontId="3" fillId="0" borderId="1" xfId="0" applyFont="1" applyBorder="1" applyAlignment="1">
      <alignment horizontal="left" vertical="center"/>
    </xf>
    <xf numFmtId="183" fontId="3" fillId="4" borderId="1" xfId="0" applyNumberFormat="1" applyFont="1" applyFill="1" applyBorder="1">
      <alignment vertical="center"/>
    </xf>
    <xf numFmtId="183" fontId="3" fillId="0" borderId="1" xfId="0" applyNumberFormat="1" applyFont="1" applyBorder="1">
      <alignment vertical="center"/>
    </xf>
    <xf numFmtId="183" fontId="3" fillId="4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>
      <alignment vertical="center"/>
    </xf>
    <xf numFmtId="181" fontId="3" fillId="0" borderId="1" xfId="0" applyNumberFormat="1" applyFont="1" applyBorder="1">
      <alignment vertical="center"/>
    </xf>
    <xf numFmtId="181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81" fontId="3" fillId="0" borderId="1" xfId="0" applyNumberFormat="1" applyFont="1" applyBorder="1" applyAlignment="1">
      <alignment horizontal="right" vertical="center"/>
    </xf>
    <xf numFmtId="180" fontId="4" fillId="0" borderId="1" xfId="232" applyNumberFormat="1" applyFont="1" applyBorder="1">
      <alignment vertical="center"/>
    </xf>
    <xf numFmtId="0" fontId="3" fillId="5" borderId="1" xfId="75" applyFill="1" applyBorder="1" applyAlignment="1">
      <alignment horizontal="left" vertical="center"/>
    </xf>
    <xf numFmtId="0" fontId="3" fillId="5" borderId="1" xfId="75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178" fontId="0" fillId="0" borderId="1" xfId="0" applyNumberFormat="1" applyBorder="1" applyAlignment="1">
      <alignment horizontal="center" vertical="center"/>
    </xf>
    <xf numFmtId="183" fontId="6" fillId="0" borderId="1" xfId="0" applyNumberFormat="1" applyFont="1" applyBorder="1">
      <alignment vertical="center"/>
    </xf>
    <xf numFmtId="178" fontId="0" fillId="0" borderId="1" xfId="0" applyNumberForma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183" fontId="6" fillId="0" borderId="1" xfId="0" applyNumberFormat="1" applyFont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3" fontId="0" fillId="0" borderId="5" xfId="0" applyNumberFormat="1" applyBorder="1" applyAlignment="1">
      <alignment horizontal="center"/>
    </xf>
    <xf numFmtId="183" fontId="0" fillId="0" borderId="0" xfId="0" applyNumberFormat="1" applyAlignment="1">
      <alignment horizontal="center"/>
    </xf>
    <xf numFmtId="183" fontId="0" fillId="0" borderId="6" xfId="0" applyNumberFormat="1" applyBorder="1" applyAlignment="1">
      <alignment horizontal="center" vertical="center"/>
    </xf>
    <xf numFmtId="183" fontId="0" fillId="4" borderId="7" xfId="0" applyNumberFormat="1" applyFill="1" applyBorder="1" applyAlignment="1">
      <alignment horizontal="center" vertical="center"/>
    </xf>
    <xf numFmtId="183" fontId="0" fillId="0" borderId="6" xfId="0" applyNumberFormat="1" applyBorder="1" applyAlignment="1">
      <alignment horizontal="center"/>
    </xf>
    <xf numFmtId="183" fontId="0" fillId="4" borderId="8" xfId="0" applyNumberFormat="1" applyFill="1" applyBorder="1" applyAlignment="1">
      <alignment horizontal="center" vertical="center"/>
    </xf>
    <xf numFmtId="183" fontId="0" fillId="4" borderId="0" xfId="0" applyNumberFormat="1" applyFill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8" borderId="1" xfId="0" applyFont="1" applyFill="1" applyBorder="1" applyAlignment="1">
      <alignment horizontal="center" vertical="center"/>
    </xf>
    <xf numFmtId="177" fontId="7" fillId="8" borderId="1" xfId="0" applyNumberFormat="1" applyFont="1" applyFill="1" applyBorder="1" applyAlignment="1">
      <alignment horizontal="center" vertical="center"/>
    </xf>
    <xf numFmtId="0" fontId="10" fillId="7" borderId="1" xfId="264" applyFont="1" applyFill="1" applyBorder="1" applyAlignment="1">
      <alignment horizontal="center" vertical="center" wrapText="1"/>
    </xf>
    <xf numFmtId="0" fontId="10" fillId="9" borderId="1" xfId="264" applyFont="1" applyFill="1" applyBorder="1" applyAlignment="1">
      <alignment horizontal="center" vertical="center" wrapText="1"/>
    </xf>
    <xf numFmtId="0" fontId="11" fillId="8" borderId="1" xfId="264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0" fontId="11" fillId="8" borderId="1" xfId="277" applyNumberFormat="1" applyFont="1" applyFill="1" applyBorder="1" applyAlignment="1">
      <alignment horizontal="center" vertical="center"/>
    </xf>
    <xf numFmtId="0" fontId="10" fillId="9" borderId="1" xfId="26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6" fillId="0" borderId="0" xfId="0" applyFont="1">
      <alignment vertical="center"/>
    </xf>
    <xf numFmtId="0" fontId="42" fillId="0" borderId="18" xfId="0" applyFont="1" applyBorder="1" applyAlignment="1">
      <alignment horizontal="center" vertical="center"/>
    </xf>
    <xf numFmtId="0" fontId="43" fillId="0" borderId="18" xfId="0" applyFont="1" applyBorder="1" applyAlignment="1">
      <alignment horizontal="center" vertical="center"/>
    </xf>
    <xf numFmtId="183" fontId="0" fillId="0" borderId="18" xfId="0" applyNumberFormat="1" applyBorder="1" applyAlignment="1">
      <alignment horizontal="center" vertical="center"/>
    </xf>
    <xf numFmtId="183" fontId="0" fillId="6" borderId="18" xfId="0" applyNumberFormat="1" applyFill="1" applyBorder="1" applyAlignment="1">
      <alignment horizontal="center" vertical="center"/>
    </xf>
    <xf numFmtId="0" fontId="41" fillId="32" borderId="18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</cellXfs>
  <cellStyles count="305">
    <cellStyle name=" 1" xfId="267" xr:uid="{00000000-0005-0000-0000-000000000000}"/>
    <cellStyle name="%" xfId="198" xr:uid="{00000000-0005-0000-0000-000001000000}"/>
    <cellStyle name="_终端性能测试用例" xfId="300" xr:uid="{00000000-0005-0000-0000-000002000000}"/>
    <cellStyle name="0,0_x000d__x000a_NA_x000d__x000a_" xfId="266" xr:uid="{00000000-0005-0000-0000-000003000000}"/>
    <cellStyle name="0,0_x000d__x000a_NA_x000d__x000a_ 2" xfId="283" xr:uid="{00000000-0005-0000-0000-000004000000}"/>
    <cellStyle name="20% - Accent1" xfId="281" xr:uid="{00000000-0005-0000-0000-000005000000}"/>
    <cellStyle name="20% - Accent1 2" xfId="263" xr:uid="{00000000-0005-0000-0000-000006000000}"/>
    <cellStyle name="20% - Accent2" xfId="108" xr:uid="{00000000-0005-0000-0000-000007000000}"/>
    <cellStyle name="20% - Accent2 14" xfId="132" xr:uid="{00000000-0005-0000-0000-000008000000}"/>
    <cellStyle name="20% - Accent2 2" xfId="254" xr:uid="{00000000-0005-0000-0000-000009000000}"/>
    <cellStyle name="20% - Accent2 7 2" xfId="202" xr:uid="{00000000-0005-0000-0000-00000A000000}"/>
    <cellStyle name="20% - Accent3" xfId="252" xr:uid="{00000000-0005-0000-0000-00000B000000}"/>
    <cellStyle name="20% - Accent3 2" xfId="285" xr:uid="{00000000-0005-0000-0000-00000C000000}"/>
    <cellStyle name="20% - Accent4" xfId="248" xr:uid="{00000000-0005-0000-0000-00000D000000}"/>
    <cellStyle name="20% - Accent4 2" xfId="244" xr:uid="{00000000-0005-0000-0000-00000E000000}"/>
    <cellStyle name="20% - Accent5" xfId="253" xr:uid="{00000000-0005-0000-0000-00000F000000}"/>
    <cellStyle name="20% - Accent5 2" xfId="301" xr:uid="{00000000-0005-0000-0000-000010000000}"/>
    <cellStyle name="20% - Accent6" xfId="240" xr:uid="{00000000-0005-0000-0000-000011000000}"/>
    <cellStyle name="20% - Accent6 2" xfId="235" xr:uid="{00000000-0005-0000-0000-000012000000}"/>
    <cellStyle name="40% - Accent1" xfId="241" xr:uid="{00000000-0005-0000-0000-000013000000}"/>
    <cellStyle name="40% - Accent1 2" xfId="237" xr:uid="{00000000-0005-0000-0000-000014000000}"/>
    <cellStyle name="40% - Accent2" xfId="222" xr:uid="{00000000-0005-0000-0000-000015000000}"/>
    <cellStyle name="40% - Accent2 2" xfId="94" xr:uid="{00000000-0005-0000-0000-000016000000}"/>
    <cellStyle name="40% - Accent3" xfId="229" xr:uid="{00000000-0005-0000-0000-000017000000}"/>
    <cellStyle name="40% - Accent3 2" xfId="270" xr:uid="{00000000-0005-0000-0000-000018000000}"/>
    <cellStyle name="40% - Accent4" xfId="245" xr:uid="{00000000-0005-0000-0000-000019000000}"/>
    <cellStyle name="40% - Accent4 2" xfId="227" xr:uid="{00000000-0005-0000-0000-00001A000000}"/>
    <cellStyle name="40% - Accent5" xfId="288" xr:uid="{00000000-0005-0000-0000-00001B000000}"/>
    <cellStyle name="40% - Accent5 2" xfId="224" xr:uid="{00000000-0005-0000-0000-00001C000000}"/>
    <cellStyle name="40% - Accent6" xfId="218" xr:uid="{00000000-0005-0000-0000-00001D000000}"/>
    <cellStyle name="40% - Accent6 2" xfId="211" xr:uid="{00000000-0005-0000-0000-00001E000000}"/>
    <cellStyle name="60% - Accent1" xfId="221" xr:uid="{00000000-0005-0000-0000-00001F000000}"/>
    <cellStyle name="60% - Accent1 2" xfId="215" xr:uid="{00000000-0005-0000-0000-000020000000}"/>
    <cellStyle name="60% - Accent2" xfId="259" xr:uid="{00000000-0005-0000-0000-000021000000}"/>
    <cellStyle name="60% - Accent2 2" xfId="250" xr:uid="{00000000-0005-0000-0000-000022000000}"/>
    <cellStyle name="60% - Accent3" xfId="208" xr:uid="{00000000-0005-0000-0000-000023000000}"/>
    <cellStyle name="60% - Accent3 2" xfId="172" xr:uid="{00000000-0005-0000-0000-000024000000}"/>
    <cellStyle name="60% - Accent3 2 2" xfId="169" xr:uid="{00000000-0005-0000-0000-000025000000}"/>
    <cellStyle name="60% - Accent4" xfId="204" xr:uid="{00000000-0005-0000-0000-000026000000}"/>
    <cellStyle name="60% - Accent4 2" xfId="199" xr:uid="{00000000-0005-0000-0000-000027000000}"/>
    <cellStyle name="60% - Accent5" xfId="197" xr:uid="{00000000-0005-0000-0000-000028000000}"/>
    <cellStyle name="60% - Accent5 2" xfId="260" xr:uid="{00000000-0005-0000-0000-000029000000}"/>
    <cellStyle name="60% - Accent6" xfId="195" xr:uid="{00000000-0005-0000-0000-00002A000000}"/>
    <cellStyle name="60% - Accent6 2" xfId="216" xr:uid="{00000000-0005-0000-0000-00002B000000}"/>
    <cellStyle name="Accent1" xfId="239" xr:uid="{00000000-0005-0000-0000-00002C000000}"/>
    <cellStyle name="Accent1 2" xfId="236" xr:uid="{00000000-0005-0000-0000-00002D000000}"/>
    <cellStyle name="Accent2" xfId="233" xr:uid="{00000000-0005-0000-0000-00002E000000}"/>
    <cellStyle name="Accent2 2" xfId="246" xr:uid="{00000000-0005-0000-0000-00002F000000}"/>
    <cellStyle name="Accent3" xfId="228" xr:uid="{00000000-0005-0000-0000-000030000000}"/>
    <cellStyle name="Accent3 2" xfId="269" xr:uid="{00000000-0005-0000-0000-000031000000}"/>
    <cellStyle name="Accent4" xfId="110" xr:uid="{00000000-0005-0000-0000-000032000000}"/>
    <cellStyle name="Accent4 2" xfId="225" xr:uid="{00000000-0005-0000-0000-000033000000}"/>
    <cellStyle name="Accent5" xfId="299" xr:uid="{00000000-0005-0000-0000-000034000000}"/>
    <cellStyle name="Accent5 2" xfId="223" xr:uid="{00000000-0005-0000-0000-000035000000}"/>
    <cellStyle name="Accent6" xfId="217" xr:uid="{00000000-0005-0000-0000-000036000000}"/>
    <cellStyle name="Accent6 2" xfId="210" xr:uid="{00000000-0005-0000-0000-000037000000}"/>
    <cellStyle name="Bad" xfId="290" xr:uid="{00000000-0005-0000-0000-000038000000}"/>
    <cellStyle name="Bad 2" xfId="194" xr:uid="{00000000-0005-0000-0000-000039000000}"/>
    <cellStyle name="Calculation" xfId="141" xr:uid="{00000000-0005-0000-0000-00003A000000}"/>
    <cellStyle name="Calculation 2" xfId="192" xr:uid="{00000000-0005-0000-0000-00003B000000}"/>
    <cellStyle name="Check Cell" xfId="191" xr:uid="{00000000-0005-0000-0000-00003C000000}"/>
    <cellStyle name="Check Cell 2" xfId="190" xr:uid="{00000000-0005-0000-0000-00003D000000}"/>
    <cellStyle name="Explanatory Text" xfId="230" xr:uid="{00000000-0005-0000-0000-00003E000000}"/>
    <cellStyle name="Explanatory Text 2" xfId="150" xr:uid="{00000000-0005-0000-0000-00003F000000}"/>
    <cellStyle name="Good" xfId="144" xr:uid="{00000000-0005-0000-0000-000040000000}"/>
    <cellStyle name="Good 2" xfId="187" xr:uid="{00000000-0005-0000-0000-000041000000}"/>
    <cellStyle name="Heading 1" xfId="186" xr:uid="{00000000-0005-0000-0000-000042000000}"/>
    <cellStyle name="Heading 1 2" xfId="183" xr:uid="{00000000-0005-0000-0000-000043000000}"/>
    <cellStyle name="Heading 2" xfId="179" xr:uid="{00000000-0005-0000-0000-000044000000}"/>
    <cellStyle name="Heading 2 2" xfId="177" xr:uid="{00000000-0005-0000-0000-000045000000}"/>
    <cellStyle name="Heading 3" xfId="289" xr:uid="{00000000-0005-0000-0000-000046000000}"/>
    <cellStyle name="Heading 3 2" xfId="176" xr:uid="{00000000-0005-0000-0000-000047000000}"/>
    <cellStyle name="Heading 4" xfId="181" xr:uid="{00000000-0005-0000-0000-000048000000}"/>
    <cellStyle name="Heading 4 2" xfId="303" xr:uid="{00000000-0005-0000-0000-000049000000}"/>
    <cellStyle name="Input" xfId="174" xr:uid="{00000000-0005-0000-0000-00004A000000}"/>
    <cellStyle name="Input 2" xfId="201" xr:uid="{00000000-0005-0000-0000-00004B000000}"/>
    <cellStyle name="Linked Cell" xfId="173" xr:uid="{00000000-0005-0000-0000-00004C000000}"/>
    <cellStyle name="Linked Cell 2" xfId="170" xr:uid="{00000000-0005-0000-0000-00004D000000}"/>
    <cellStyle name="Neutral" xfId="168" xr:uid="{00000000-0005-0000-0000-00004E000000}"/>
    <cellStyle name="Neutral 2" xfId="188" xr:uid="{00000000-0005-0000-0000-00004F000000}"/>
    <cellStyle name="Normal 10" xfId="166" xr:uid="{00000000-0005-0000-0000-000050000000}"/>
    <cellStyle name="Normal 2" xfId="262" xr:uid="{00000000-0005-0000-0000-000051000000}"/>
    <cellStyle name="Normal 2 2" xfId="275" xr:uid="{00000000-0005-0000-0000-000052000000}"/>
    <cellStyle name="Normal 2 3" xfId="297" xr:uid="{00000000-0005-0000-0000-000053000000}"/>
    <cellStyle name="Normal_RF Evaluation (technical)_Woraphot_050916_Technical evaluation criterion for datacom&amp;optical" xfId="97" xr:uid="{00000000-0005-0000-0000-000054000000}"/>
    <cellStyle name="Normal_Worksheet in 北京慧博创测通信有限公司介绍_V1.2" xfId="264" xr:uid="{00000000-0005-0000-0000-000055000000}"/>
    <cellStyle name="Note" xfId="165" xr:uid="{00000000-0005-0000-0000-000056000000}"/>
    <cellStyle name="Note 2" xfId="163" xr:uid="{00000000-0005-0000-0000-000057000000}"/>
    <cellStyle name="Output" xfId="161" xr:uid="{00000000-0005-0000-0000-000058000000}"/>
    <cellStyle name="Output 2" xfId="135" xr:uid="{00000000-0005-0000-0000-000059000000}"/>
    <cellStyle name="Percent 2" xfId="302" xr:uid="{00000000-0005-0000-0000-00005A000000}"/>
    <cellStyle name="RowLevel_0" xfId="99" xr:uid="{00000000-0005-0000-0000-00005B000000}"/>
    <cellStyle name="Title" xfId="159" xr:uid="{00000000-0005-0000-0000-00005C000000}"/>
    <cellStyle name="Title 2" xfId="128" xr:uid="{00000000-0005-0000-0000-00005D000000}"/>
    <cellStyle name="Total" xfId="155" xr:uid="{00000000-0005-0000-0000-00005E000000}"/>
    <cellStyle name="Total 2" xfId="104" xr:uid="{00000000-0005-0000-0000-00005F000000}"/>
    <cellStyle name="Warning Text" xfId="255" xr:uid="{00000000-0005-0000-0000-000060000000}"/>
    <cellStyle name="Warning Text 2" xfId="196" xr:uid="{00000000-0005-0000-0000-000061000000}"/>
    <cellStyle name="百分比" xfId="277" builtinId="5"/>
    <cellStyle name="百分比 2" xfId="153" xr:uid="{00000000-0005-0000-0000-000063000000}"/>
    <cellStyle name="百分比 2 2" xfId="152" xr:uid="{00000000-0005-0000-0000-000064000000}"/>
    <cellStyle name="百分比 3" xfId="151" xr:uid="{00000000-0005-0000-0000-000065000000}"/>
    <cellStyle name="百分比 3 2" xfId="148" xr:uid="{00000000-0005-0000-0000-000066000000}"/>
    <cellStyle name="差_中国电信CDMA 1X终端现网测试报告_新版" xfId="184" xr:uid="{00000000-0005-0000-0000-000067000000}"/>
    <cellStyle name="差_中国电信CDMA 1X终端现网测试报告_新版 2" xfId="157" xr:uid="{00000000-0005-0000-0000-000068000000}"/>
    <cellStyle name="差_中国电信CDMA终端测试报告（A集）-XXXXXX（0902XX初" xfId="133" xr:uid="{00000000-0005-0000-0000-000069000000}"/>
    <cellStyle name="差_中国电信CDMA终端测试报告（A集）-XXXXXX（0902XX初 2" xfId="147" xr:uid="{00000000-0005-0000-0000-00006A000000}"/>
    <cellStyle name="差_中国电信CDMA终端测试报告（A集）-XXXXXX（0903XX初测）V2" xfId="145" xr:uid="{00000000-0005-0000-0000-00006B000000}"/>
    <cellStyle name="差_中国电信CDMA终端测试报告（A集）-XXXXXX（0903XX初测）V2 2" xfId="143" xr:uid="{00000000-0005-0000-0000-00006C000000}"/>
    <cellStyle name="差_中国电信CDMA终端测试报告（A集V17）-XXXXXX（0908XX初测），增加DM，2009-10-28_0938" xfId="142" xr:uid="{00000000-0005-0000-0000-00006D000000}"/>
    <cellStyle name="差_中国电信CDMA终端测试报告（A集V17）-XXXXXX（0908XX初测），增加DM，2009-10-28_0938 2" xfId="140" xr:uid="{00000000-0005-0000-0000-00006E000000}"/>
    <cellStyle name="差_中国电信CDMA终端测试报告（A集V17）-XXXXXX（0911XX初测）" xfId="180" xr:uid="{00000000-0005-0000-0000-00006F000000}"/>
    <cellStyle name="差_中国电信CDMA终端测试报告（A集V17）-XXXXXX（0911XX初测） 2" xfId="137" xr:uid="{00000000-0005-0000-0000-000070000000}"/>
    <cellStyle name="差_中国电信CDMA终端测试报告（A集V17）-XXXXXX（0911XX初测） 2 2" xfId="206" xr:uid="{00000000-0005-0000-0000-000071000000}"/>
    <cellStyle name="差_中国电信CDMA终端测试报告（A集V17）-XXXXXX（0911XX初测） 3" xfId="189" xr:uid="{00000000-0005-0000-0000-000072000000}"/>
    <cellStyle name="差_中国电信CDMA终端测试报告（A集V17）-XXXXXX（0911XX初测）_中国电信CDMA 1X终端现网测试报告_新版" xfId="273" xr:uid="{00000000-0005-0000-0000-000073000000}"/>
    <cellStyle name="差_中国电信CDMA终端测试报告（A集V17）-XXXXXX（0911XX初测）_中国电信CDMA 1X终端现网测试报告_新版 2" xfId="280" xr:uid="{00000000-0005-0000-0000-000074000000}"/>
    <cellStyle name="差_中国电信CDMA终端测试报告（A集V17）-XXXXXX（0911XX初测）_中国电信CDMA终端测试报告（A集V18）-XXXXX X（0911XX初测）--现网20091224修改版" xfId="136" xr:uid="{00000000-0005-0000-0000-000075000000}"/>
    <cellStyle name="差_中国电信CDMA终端测试报告（A集V17）-XXXXXX（0911XX初测）_中国电信CDMA终端测试报告（A集V18）-XXXXX X（0911XX初测）--现网20091224修改版 2" xfId="134" xr:uid="{00000000-0005-0000-0000-000076000000}"/>
    <cellStyle name="差_中国电信CDMA终端测试报告（A集V17）-XXXXXX（0911XX初测）_中国电信EVDO(Rev.0)终端现网测试报告_新版" xfId="160" xr:uid="{00000000-0005-0000-0000-000077000000}"/>
    <cellStyle name="差_中国电信CDMA终端测试报告（A集V17）-XXXXXX（0911XX初测）_中国电信EVDO(Rev.0)终端现网测试报告_新版 2" xfId="139" xr:uid="{00000000-0005-0000-0000-000078000000}"/>
    <cellStyle name="差_中国电信CDMA终端测试报告（A集V17）-XXXXXX（0911XX初测）_中国电信EVDO(Rev.A)终端现网测试报告_新版" xfId="131" xr:uid="{00000000-0005-0000-0000-000079000000}"/>
    <cellStyle name="差_中国电信CDMA终端测试报告（A集V17）-XXXXXX（0911XX初测）_中国电信EVDO(Rev.A)终端现网测试报告_新版 2" xfId="129" xr:uid="{00000000-0005-0000-0000-00007A000000}"/>
    <cellStyle name="差_中国电信CDMA终端测试报告（A集V17）-XXXXXX（0911XX初测）_中国电信EVDO终端测试报告（A集V18）-XXXXX X（0911XX初测）--现网部分（20091224修改版）" xfId="207" xr:uid="{00000000-0005-0000-0000-00007B000000}"/>
    <cellStyle name="差_中国电信CDMA终端测试报告（A集V17）-XXXXXX（0911XX初测）_中国电信EVDO终端测试报告（A集V18）-XXXXX X（0911XX初测）--现网部分（20091224修改版） 2" xfId="127" xr:uid="{00000000-0005-0000-0000-00007C000000}"/>
    <cellStyle name="差_中国电信CDMA终端测试报告（A集V17）-XXXXXX（0911XX初测）_中国电信EVDO终端测试报告（V23简化集）-XXXXXX（201005XX初测）" xfId="124" xr:uid="{00000000-0005-0000-0000-00007D000000}"/>
    <cellStyle name="差_中国电信CDMA终端测试报告（A集V17）-XXXXXX（0911XX初测）_中国电信EVDO终端测试报告（V23简化集）-XXXXXX（201005XX初测） 2" xfId="123" xr:uid="{00000000-0005-0000-0000-00007E000000}"/>
    <cellStyle name="差_中国电信CDMA终端测试报告（A集V17）-XXXXXX（0911XX初测）_中国电信EVDO终端测试报告（V23完整集）-XXXXXX（201005XX初测）" xfId="120" xr:uid="{00000000-0005-0000-0000-00007F000000}"/>
    <cellStyle name="差_中国电信CDMA终端测试报告（A集V17）-XXXXXX（0911XX初测）_中国电信EVDO终端测试报告（V23完整集）-XXXXXX（201005XX初测） 2" xfId="118" xr:uid="{00000000-0005-0000-0000-000080000000}"/>
    <cellStyle name="差_中国电信CDMA终端测试报告（A集V17）-XXXXXX（0911XX初测）_中国电信安全通信业务测试报告-xxxx（201006xxxxx）" xfId="116" xr:uid="{00000000-0005-0000-0000-000081000000}"/>
    <cellStyle name="差_中国电信CDMA终端测试报告（A集V17）-XXXXXX（0911XX初测）_中国电信安全通信业务测试报告-xxxx（201006xxxxx） 2" xfId="114" xr:uid="{00000000-0005-0000-0000-000082000000}"/>
    <cellStyle name="差_中国电信CDMA终端测试报告（A集V18）-XXXXX X（0911XX初测）--现网20091224修改版" xfId="171" xr:uid="{00000000-0005-0000-0000-000083000000}"/>
    <cellStyle name="差_中国电信CDMA终端测试报告（A集V18）-XXXXX X（0911XX初测）--现网20091224修改版 2" xfId="113" xr:uid="{00000000-0005-0000-0000-000084000000}"/>
    <cellStyle name="差_中国电信CDMA终端测试报告-coolpad N68（081031补测）-JAVA" xfId="209" xr:uid="{00000000-0005-0000-0000-000085000000}"/>
    <cellStyle name="差_中国电信CDMA终端测试报告-coolpad N68（081031补测）-JAVA 2" xfId="111" xr:uid="{00000000-0005-0000-0000-000086000000}"/>
    <cellStyle name="差_中国电信CDMA终端测试报告-宇龙N68（081114补测）" xfId="101" xr:uid="{00000000-0005-0000-0000-000087000000}"/>
    <cellStyle name="差_中国电信CDMA终端测试报告-宇龙N68（081114补测） 2" xfId="109" xr:uid="{00000000-0005-0000-0000-000088000000}"/>
    <cellStyle name="差_中国电信CDMA终端测试记录-宇龙N68（081021初测）" xfId="107" xr:uid="{00000000-0005-0000-0000-000089000000}"/>
    <cellStyle name="差_中国电信CDMA终端测试记录-宇龙N68（081021初测） 2" xfId="272" xr:uid="{00000000-0005-0000-0000-00008A000000}"/>
    <cellStyle name="差_中国电信EVDO(Rev.0)终端现网测试报告_新版" xfId="106" xr:uid="{00000000-0005-0000-0000-00008B000000}"/>
    <cellStyle name="差_中国电信EVDO(Rev.0)终端现网测试报告_新版 2" xfId="295" xr:uid="{00000000-0005-0000-0000-00008C000000}"/>
    <cellStyle name="差_中国电信EVDO(Rev.A)终端现网测试报告_新版" xfId="200" xr:uid="{00000000-0005-0000-0000-00008D000000}"/>
    <cellStyle name="差_中国电信EVDO(Rev.A)终端现网测试报告_新版 2" xfId="162" xr:uid="{00000000-0005-0000-0000-00008E000000}"/>
    <cellStyle name="差_中国电信EVDO终端测试报告（A集）-XXXXXX（0903XX初测）" xfId="105" xr:uid="{00000000-0005-0000-0000-00008F000000}"/>
    <cellStyle name="差_中国电信EVDO终端测试报告（A集）-XXXXXX（0903XX初测） 2" xfId="102" xr:uid="{00000000-0005-0000-0000-000090000000}"/>
    <cellStyle name="差_中国电信EVDO终端测试报告（A集）-XXXXXX（0903XX初测）-20090306" xfId="100" xr:uid="{00000000-0005-0000-0000-000091000000}"/>
    <cellStyle name="差_中国电信EVDO终端测试报告（A集）-XXXXXX（0903XX初测）-20090306 2" xfId="98" xr:uid="{00000000-0005-0000-0000-000092000000}"/>
    <cellStyle name="差_中国电信EVDO终端测试报告（A集）-XXXXXX（0903XX初测）－修订中" xfId="96" xr:uid="{00000000-0005-0000-0000-000093000000}"/>
    <cellStyle name="差_中国电信EVDO终端测试报告（A集）-XXXXXX（0903XX初测）－修订中 2" xfId="95" xr:uid="{00000000-0005-0000-0000-000094000000}"/>
    <cellStyle name="差_中国电信EVDO终端测试报告（A集V17）-XXXXXX（0908XX初测），增加DM，2009-10-28_0938" xfId="92" xr:uid="{00000000-0005-0000-0000-000095000000}"/>
    <cellStyle name="差_中国电信EVDO终端测试报告（A集V17）-XXXXXX（0908XX初测），增加DM，2009-10-28_0938 2" xfId="112" xr:uid="{00000000-0005-0000-0000-000096000000}"/>
    <cellStyle name="差_中国电信EVDO终端测试报告（A集V18）-XXXXX X（0911XX初测）--现网部分（20091224修改版）" xfId="226" xr:uid="{00000000-0005-0000-0000-000097000000}"/>
    <cellStyle name="差_中国电信EVDO终端测试报告（A集V18）-XXXXX X（0911XX初测）--现网部分（20091224修改版） 2" xfId="91" xr:uid="{00000000-0005-0000-0000-000098000000}"/>
    <cellStyle name="差_中国电信EVDO终端测试报告（V23简化集）-XXXXXX（201005XX初测）" xfId="247" xr:uid="{00000000-0005-0000-0000-000099000000}"/>
    <cellStyle name="差_中国电信EVDO终端测试报告（V23简化集）-XXXXXX（201005XX初测） 2" xfId="90" xr:uid="{00000000-0005-0000-0000-00009A000000}"/>
    <cellStyle name="差_中国电信EVDO终端测试报告（V23完整集）-XXXXXX（201005XX初测）" xfId="234" xr:uid="{00000000-0005-0000-0000-00009B000000}"/>
    <cellStyle name="差_中国电信EVDO终端测试报告（V23完整集）-XXXXXX（201005XX初测） 2" xfId="89" xr:uid="{00000000-0005-0000-0000-00009C000000}"/>
    <cellStyle name="差_中国电信安全通信业务测试报告-xxxx（201006xxxxx）" xfId="279" xr:uid="{00000000-0005-0000-0000-00009D000000}"/>
    <cellStyle name="差_中国电信安全通信业务测试报告-xxxx（201006xxxxx） 2" xfId="88" xr:uid="{00000000-0005-0000-0000-00009E000000}"/>
    <cellStyle name="常规" xfId="0" builtinId="0"/>
    <cellStyle name="常规 10" xfId="117" xr:uid="{00000000-0005-0000-0000-0000A0000000}"/>
    <cellStyle name="常规 10 10 2" xfId="87" xr:uid="{00000000-0005-0000-0000-0000A1000000}"/>
    <cellStyle name="常规 10 10 2 2" xfId="86" xr:uid="{00000000-0005-0000-0000-0000A2000000}"/>
    <cellStyle name="常规 10 2" xfId="220" xr:uid="{00000000-0005-0000-0000-0000A3000000}"/>
    <cellStyle name="常规 10 2 2" xfId="214" xr:uid="{00000000-0005-0000-0000-0000A4000000}"/>
    <cellStyle name="常规 10 3" xfId="258" xr:uid="{00000000-0005-0000-0000-0000A5000000}"/>
    <cellStyle name="常规 11" xfId="85" xr:uid="{00000000-0005-0000-0000-0000A6000000}"/>
    <cellStyle name="常规 11 2" xfId="84" xr:uid="{00000000-0005-0000-0000-0000A7000000}"/>
    <cellStyle name="常规 12" xfId="83" xr:uid="{00000000-0005-0000-0000-0000A8000000}"/>
    <cellStyle name="常规 12 10" xfId="294" xr:uid="{00000000-0005-0000-0000-0000A9000000}"/>
    <cellStyle name="常规 13" xfId="82" xr:uid="{00000000-0005-0000-0000-0000AA000000}"/>
    <cellStyle name="常规 14" xfId="81" xr:uid="{00000000-0005-0000-0000-0000AB000000}"/>
    <cellStyle name="常规 15" xfId="80" xr:uid="{00000000-0005-0000-0000-0000AC000000}"/>
    <cellStyle name="常规 16" xfId="78" xr:uid="{00000000-0005-0000-0000-0000AD000000}"/>
    <cellStyle name="常规 16 4" xfId="276" xr:uid="{00000000-0005-0000-0000-0000AE000000}"/>
    <cellStyle name="常规 16 4 2" xfId="77" xr:uid="{00000000-0005-0000-0000-0000AF000000}"/>
    <cellStyle name="常规 17" xfId="76" xr:uid="{00000000-0005-0000-0000-0000B0000000}"/>
    <cellStyle name="常规 18" xfId="158" xr:uid="{00000000-0005-0000-0000-0000B1000000}"/>
    <cellStyle name="常规 19" xfId="122" xr:uid="{00000000-0005-0000-0000-0000B2000000}"/>
    <cellStyle name="常规 2" xfId="75" xr:uid="{00000000-0005-0000-0000-0000B3000000}"/>
    <cellStyle name="常规 2 2" xfId="284" xr:uid="{00000000-0005-0000-0000-0000B4000000}"/>
    <cellStyle name="常规 2 2 2" xfId="73" xr:uid="{00000000-0005-0000-0000-0000B5000000}"/>
    <cellStyle name="常规 2 2 2 2" xfId="72" xr:uid="{00000000-0005-0000-0000-0000B6000000}"/>
    <cellStyle name="常规 2 2 2 2 2" xfId="71" xr:uid="{00000000-0005-0000-0000-0000B7000000}"/>
    <cellStyle name="常规 2 2 2 3" xfId="69" xr:uid="{00000000-0005-0000-0000-0000B8000000}"/>
    <cellStyle name="常规 2 2 2 4" xfId="164" xr:uid="{00000000-0005-0000-0000-0000B9000000}"/>
    <cellStyle name="常规 2 2 3" xfId="304" xr:uid="{00000000-0005-0000-0000-0000BA000000}"/>
    <cellStyle name="常规 2 3" xfId="205" xr:uid="{00000000-0005-0000-0000-0000BB000000}"/>
    <cellStyle name="常规 2 3 2" xfId="67" xr:uid="{00000000-0005-0000-0000-0000BC000000}"/>
    <cellStyle name="常规 2 3 2 2" xfId="66" xr:uid="{00000000-0005-0000-0000-0000BD000000}"/>
    <cellStyle name="常规 2 3 3" xfId="64" xr:uid="{00000000-0005-0000-0000-0000BE000000}"/>
    <cellStyle name="常规 2 4" xfId="274" xr:uid="{00000000-0005-0000-0000-0000BF000000}"/>
    <cellStyle name="常规 2 4 2" xfId="278" xr:uid="{00000000-0005-0000-0000-0000C0000000}"/>
    <cellStyle name="常规 2 5" xfId="296" xr:uid="{00000000-0005-0000-0000-0000C1000000}"/>
    <cellStyle name="常规 2 6" xfId="74" xr:uid="{00000000-0005-0000-0000-0000C2000000}"/>
    <cellStyle name="常规 2_复件 【产品型号】现网测试报告模板_适用于不支持HSPD的产品" xfId="62" xr:uid="{00000000-0005-0000-0000-0000C3000000}"/>
    <cellStyle name="常规 20" xfId="79" xr:uid="{00000000-0005-0000-0000-0000C4000000}"/>
    <cellStyle name="常规 24" xfId="121" xr:uid="{00000000-0005-0000-0000-0000C5000000}"/>
    <cellStyle name="常规 25" xfId="182" xr:uid="{00000000-0005-0000-0000-0000C6000000}"/>
    <cellStyle name="常规 25 2" xfId="61" xr:uid="{00000000-0005-0000-0000-0000C7000000}"/>
    <cellStyle name="常规 3" xfId="60" xr:uid="{00000000-0005-0000-0000-0000C8000000}"/>
    <cellStyle name="常规 3 2" xfId="59" xr:uid="{00000000-0005-0000-0000-0000C9000000}"/>
    <cellStyle name="常规 3 2 2" xfId="58" xr:uid="{00000000-0005-0000-0000-0000CA000000}"/>
    <cellStyle name="常规 3 2 2 2" xfId="57" xr:uid="{00000000-0005-0000-0000-0000CB000000}"/>
    <cellStyle name="常规 3 3" xfId="56" xr:uid="{00000000-0005-0000-0000-0000CC000000}"/>
    <cellStyle name="常规 3 4" xfId="55" xr:uid="{00000000-0005-0000-0000-0000CD000000}"/>
    <cellStyle name="常规 3 5" xfId="54" xr:uid="{00000000-0005-0000-0000-0000CE000000}"/>
    <cellStyle name="常规 3 6" xfId="53" xr:uid="{00000000-0005-0000-0000-0000CF000000}"/>
    <cellStyle name="常规 3 7" xfId="52" xr:uid="{00000000-0005-0000-0000-0000D0000000}"/>
    <cellStyle name="常规 4" xfId="51" xr:uid="{00000000-0005-0000-0000-0000D1000000}"/>
    <cellStyle name="常规 4 2" xfId="50" xr:uid="{00000000-0005-0000-0000-0000D2000000}"/>
    <cellStyle name="常规 4 2 2" xfId="49" xr:uid="{00000000-0005-0000-0000-0000D3000000}"/>
    <cellStyle name="常规 4 2 3" xfId="115" xr:uid="{00000000-0005-0000-0000-0000D4000000}"/>
    <cellStyle name="常规 4 2 4" xfId="48" xr:uid="{00000000-0005-0000-0000-0000D5000000}"/>
    <cellStyle name="常规 4 3" xfId="219" xr:uid="{00000000-0005-0000-0000-0000D6000000}"/>
    <cellStyle name="常规 4 3 2" xfId="213" xr:uid="{00000000-0005-0000-0000-0000D7000000}"/>
    <cellStyle name="常规 4 4" xfId="257" xr:uid="{00000000-0005-0000-0000-0000D8000000}"/>
    <cellStyle name="常规 5" xfId="46" xr:uid="{00000000-0005-0000-0000-0000D9000000}"/>
    <cellStyle name="常规 5 10 2" xfId="154" xr:uid="{00000000-0005-0000-0000-0000DA000000}"/>
    <cellStyle name="常规 5 16" xfId="45" xr:uid="{00000000-0005-0000-0000-0000DB000000}"/>
    <cellStyle name="常规 5 2" xfId="44" xr:uid="{00000000-0005-0000-0000-0000DC000000}"/>
    <cellStyle name="常规 5 2 2" xfId="43" xr:uid="{00000000-0005-0000-0000-0000DD000000}"/>
    <cellStyle name="常规 5 2 3" xfId="42" xr:uid="{00000000-0005-0000-0000-0000DE000000}"/>
    <cellStyle name="常规 5 2 4" xfId="93" xr:uid="{00000000-0005-0000-0000-0000DF000000}"/>
    <cellStyle name="常规 5_中国电信CDMA终端测试报告-宇龙N68（081114补测）" xfId="167" xr:uid="{00000000-0005-0000-0000-0000E0000000}"/>
    <cellStyle name="常规 6" xfId="70" xr:uid="{00000000-0005-0000-0000-0000E1000000}"/>
    <cellStyle name="常规 6 2" xfId="41" xr:uid="{00000000-0005-0000-0000-0000E2000000}"/>
    <cellStyle name="常规 6 2 2" xfId="298" xr:uid="{00000000-0005-0000-0000-0000E3000000}"/>
    <cellStyle name="常规 6 2 2 2" xfId="40" xr:uid="{00000000-0005-0000-0000-0000E4000000}"/>
    <cellStyle name="常规 6 2 2 3" xfId="156" xr:uid="{00000000-0005-0000-0000-0000E5000000}"/>
    <cellStyle name="常规 6 2 4" xfId="39" xr:uid="{00000000-0005-0000-0000-0000E6000000}"/>
    <cellStyle name="常规 6 3" xfId="38" xr:uid="{00000000-0005-0000-0000-0000E7000000}"/>
    <cellStyle name="常规 6 4" xfId="271" xr:uid="{00000000-0005-0000-0000-0000E8000000}"/>
    <cellStyle name="常规 7" xfId="249" xr:uid="{00000000-0005-0000-0000-0000E9000000}"/>
    <cellStyle name="常规 7 2" xfId="146" xr:uid="{00000000-0005-0000-0000-0000EA000000}"/>
    <cellStyle name="常规 7 3" xfId="119" xr:uid="{00000000-0005-0000-0000-0000EB000000}"/>
    <cellStyle name="常规 7 4" xfId="37" xr:uid="{00000000-0005-0000-0000-0000EC000000}"/>
    <cellStyle name="常规 8" xfId="65" xr:uid="{00000000-0005-0000-0000-0000ED000000}"/>
    <cellStyle name="常规 8 2" xfId="268" xr:uid="{00000000-0005-0000-0000-0000EE000000}"/>
    <cellStyle name="常规 9" xfId="36" xr:uid="{00000000-0005-0000-0000-0000EF000000}"/>
    <cellStyle name="常规 9 10 2" xfId="251" xr:uid="{00000000-0005-0000-0000-0000F0000000}"/>
    <cellStyle name="常规 9 2" xfId="35" xr:uid="{00000000-0005-0000-0000-0000F1000000}"/>
    <cellStyle name="常规 9 2 2" xfId="34" xr:uid="{00000000-0005-0000-0000-0000F2000000}"/>
    <cellStyle name="常规 9 3" xfId="33" xr:uid="{00000000-0005-0000-0000-0000F3000000}"/>
    <cellStyle name="超链接 2" xfId="32" xr:uid="{00000000-0005-0000-0000-0000F4000000}"/>
    <cellStyle name="超链接 2 2" xfId="265" xr:uid="{00000000-0005-0000-0000-0000F5000000}"/>
    <cellStyle name="好_中国电信CDMA 1X终端现网测试报告_新版" xfId="149" xr:uid="{00000000-0005-0000-0000-0000F6000000}"/>
    <cellStyle name="好_中国电信CDMA 1X终端现网测试报告_新版 2" xfId="126" xr:uid="{00000000-0005-0000-0000-0000F7000000}"/>
    <cellStyle name="好_中国电信CDMA终端测试报告（A集）-XXXXXX（0902XX初" xfId="31" xr:uid="{00000000-0005-0000-0000-0000F8000000}"/>
    <cellStyle name="好_中国电信CDMA终端测试报告（A集）-XXXXXX（0902XX初 2" xfId="30" xr:uid="{00000000-0005-0000-0000-0000F9000000}"/>
    <cellStyle name="好_中国电信CDMA终端测试报告（A集）-XXXXXX（0903XX初测）V2" xfId="29" xr:uid="{00000000-0005-0000-0000-0000FA000000}"/>
    <cellStyle name="好_中国电信CDMA终端测试报告（A集）-XXXXXX（0903XX初测）V2 2" xfId="287" xr:uid="{00000000-0005-0000-0000-0000FB000000}"/>
    <cellStyle name="好_中国电信CDMA终端测试报告（A集V17）-XXXXXX（0908XX初测），增加DM，2009-10-28_0938" xfId="68" xr:uid="{00000000-0005-0000-0000-0000FC000000}"/>
    <cellStyle name="好_中国电信CDMA终端测试报告（A集V17）-XXXXXX（0908XX初测），增加DM，2009-10-28_0938 2" xfId="130" xr:uid="{00000000-0005-0000-0000-0000FD000000}"/>
    <cellStyle name="好_中国电信CDMA终端测试报告（A集V17）-XXXXXX（0911XX初测）" xfId="28" xr:uid="{00000000-0005-0000-0000-0000FE000000}"/>
    <cellStyle name="好_中国电信CDMA终端测试报告（A集V17）-XXXXXX（0911XX初测） 2" xfId="27" xr:uid="{00000000-0005-0000-0000-0000FF000000}"/>
    <cellStyle name="好_中国电信CDMA终端测试报告（A集V17）-XXXXXX（0911XX初测） 2 2" xfId="26" xr:uid="{00000000-0005-0000-0000-000000010000}"/>
    <cellStyle name="好_中国电信CDMA终端测试报告（A集V17）-XXXXXX（0911XX初测） 3" xfId="125" xr:uid="{00000000-0005-0000-0000-000001010000}"/>
    <cellStyle name="好_中国电信CDMA终端测试报告（A集V17）-XXXXXX（0911XX初测）_中国电信CDMA 1X终端现网测试报告_新版" xfId="25" xr:uid="{00000000-0005-0000-0000-000002010000}"/>
    <cellStyle name="好_中国电信CDMA终端测试报告（A集V17）-XXXXXX（0911XX初测）_中国电信CDMA 1X终端现网测试报告_新版 2" xfId="138" xr:uid="{00000000-0005-0000-0000-000003010000}"/>
    <cellStyle name="好_中国电信CDMA终端测试报告（A集V17）-XXXXXX（0911XX初测）_中国电信CDMA终端测试报告（A集V18）-XXXXX X（0911XX初测）--现网20091224修改版" xfId="231" xr:uid="{00000000-0005-0000-0000-000004010000}"/>
    <cellStyle name="好_中国电信CDMA终端测试报告（A集V17）-XXXXXX（0911XX初测）_中国电信CDMA终端测试报告（A集V18）-XXXXX X（0911XX初测）--现网20091224修改版 2" xfId="282" xr:uid="{00000000-0005-0000-0000-000005010000}"/>
    <cellStyle name="好_中国电信CDMA终端测试报告（A集V17）-XXXXXX（0911XX初测）_中国电信EVDO(Rev.0)终端现网测试报告_新版" xfId="24" xr:uid="{00000000-0005-0000-0000-000006010000}"/>
    <cellStyle name="好_中国电信CDMA终端测试报告（A集V17）-XXXXXX（0911XX初测）_中国电信EVDO(Rev.0)终端现网测试报告_新版 2" xfId="103" xr:uid="{00000000-0005-0000-0000-000007010000}"/>
    <cellStyle name="好_中国电信CDMA终端测试报告（A集V17）-XXXXXX（0911XX初测）_中国电信EVDO(Rev.A)终端现网测试报告_新版" xfId="23" xr:uid="{00000000-0005-0000-0000-000008010000}"/>
    <cellStyle name="好_中国电信CDMA终端测试报告（A集V17）-XXXXXX（0911XX初测）_中国电信EVDO(Rev.A)终端现网测试报告_新版 2" xfId="291" xr:uid="{00000000-0005-0000-0000-000009010000}"/>
    <cellStyle name="好_中国电信CDMA终端测试报告（A集V17）-XXXXXX（0911XX初测）_中国电信EVDO终端测试报告（A集V18）-XXXXX X（0911XX初测）--现网部分（20091224修改版）" xfId="21" xr:uid="{00000000-0005-0000-0000-00000A010000}"/>
    <cellStyle name="好_中国电信CDMA终端测试报告（A集V17）-XXXXXX（0911XX初测）_中国电信EVDO终端测试报告（A集V18）-XXXXX X（0911XX初测）--现网部分（20091224修改版） 2" xfId="293" xr:uid="{00000000-0005-0000-0000-00000B010000}"/>
    <cellStyle name="好_中国电信CDMA终端测试报告（A集V17）-XXXXXX（0911XX初测）_中国电信EVDO终端测试报告（V23简化集）-XXXXXX（201005XX初测）" xfId="20" xr:uid="{00000000-0005-0000-0000-00000C010000}"/>
    <cellStyle name="好_中国电信CDMA终端测试报告（A集V17）-XXXXXX（0911XX初测）_中国电信EVDO终端测试报告（V23简化集）-XXXXXX（201005XX初测） 2" xfId="178" xr:uid="{00000000-0005-0000-0000-00000D010000}"/>
    <cellStyle name="好_中国电信CDMA终端测试报告（A集V17）-XXXXXX（0911XX初测）_中国电信EVDO终端测试报告（V23完整集）-XXXXXX（201005XX初测）" xfId="19" xr:uid="{00000000-0005-0000-0000-00000E010000}"/>
    <cellStyle name="好_中国电信CDMA终端测试报告（A集V17）-XXXXXX（0911XX初测）_中国电信EVDO终端测试报告（V23完整集）-XXXXXX（201005XX初测） 2" xfId="22" xr:uid="{00000000-0005-0000-0000-00000F010000}"/>
    <cellStyle name="好_中国电信CDMA终端测试报告（A集V17）-XXXXXX（0911XX初测）_中国电信安全通信业务测试报告-xxxx（201006xxxxx）" xfId="63" xr:uid="{00000000-0005-0000-0000-000010010000}"/>
    <cellStyle name="好_中国电信CDMA终端测试报告（A集V17）-XXXXXX（0911XX初测）_中国电信安全通信业务测试报告-xxxx（201006xxxxx） 2" xfId="18" xr:uid="{00000000-0005-0000-0000-000011010000}"/>
    <cellStyle name="好_中国电信CDMA终端测试报告（A集V18）-XXXXX X（0911XX初测）--现网20091224修改版" xfId="286" xr:uid="{00000000-0005-0000-0000-000012010000}"/>
    <cellStyle name="好_中国电信CDMA终端测试报告（A集V18）-XXXXX X（0911XX初测）--现网20091224修改版 2" xfId="17" xr:uid="{00000000-0005-0000-0000-000013010000}"/>
    <cellStyle name="好_中国电信CDMA终端测试报告-coolpad N68（081031补测）-JAVA" xfId="16" xr:uid="{00000000-0005-0000-0000-000014010000}"/>
    <cellStyle name="好_中国电信CDMA终端测试报告-coolpad N68（081031补测）-JAVA 2" xfId="261" xr:uid="{00000000-0005-0000-0000-000015010000}"/>
    <cellStyle name="好_中国电信CDMA终端测试报告-宇龙N68（081114补测）" xfId="15" xr:uid="{00000000-0005-0000-0000-000016010000}"/>
    <cellStyle name="好_中国电信CDMA终端测试报告-宇龙N68（081114补测） 2" xfId="14" xr:uid="{00000000-0005-0000-0000-000017010000}"/>
    <cellStyle name="好_中国电信CDMA终端测试记录-宇龙N68（081021初测）" xfId="13" xr:uid="{00000000-0005-0000-0000-000018010000}"/>
    <cellStyle name="好_中国电信CDMA终端测试记录-宇龙N68（081021初测） 2" xfId="185" xr:uid="{00000000-0005-0000-0000-000019010000}"/>
    <cellStyle name="好_中国电信EVDO(Rev.0)终端现网测试报告_新版" xfId="47" xr:uid="{00000000-0005-0000-0000-00001A010000}"/>
    <cellStyle name="好_中国电信EVDO(Rev.0)终端现网测试报告_新版 2" xfId="243" xr:uid="{00000000-0005-0000-0000-00001B010000}"/>
    <cellStyle name="好_中国电信EVDO(Rev.A)终端现网测试报告_新版" xfId="12" xr:uid="{00000000-0005-0000-0000-00001C010000}"/>
    <cellStyle name="好_中国电信EVDO(Rev.A)终端现网测试报告_新版 2" xfId="11" xr:uid="{00000000-0005-0000-0000-00001D010000}"/>
    <cellStyle name="好_中国电信EVDO终端测试报告（A集）-XXXXXX（0903XX初测）" xfId="10" xr:uid="{00000000-0005-0000-0000-00001E010000}"/>
    <cellStyle name="好_中国电信EVDO终端测试报告（A集）-XXXXXX（0903XX初测） 2" xfId="8" xr:uid="{00000000-0005-0000-0000-00001F010000}"/>
    <cellStyle name="好_中国电信EVDO终端测试报告（A集）-XXXXXX（0903XX初测）-20090306" xfId="7" xr:uid="{00000000-0005-0000-0000-000020010000}"/>
    <cellStyle name="好_中国电信EVDO终端测试报告（A集）-XXXXXX（0903XX初测）-20090306 2" xfId="193" xr:uid="{00000000-0005-0000-0000-000021010000}"/>
    <cellStyle name="好_中国电信EVDO终端测试报告（A集）-XXXXXX（0903XX初测）－修订中" xfId="6" xr:uid="{00000000-0005-0000-0000-000022010000}"/>
    <cellStyle name="好_中国电信EVDO终端测试报告（A集）-XXXXXX（0903XX初测）－修订中 2" xfId="9" xr:uid="{00000000-0005-0000-0000-000023010000}"/>
    <cellStyle name="好_中国电信EVDO终端测试报告（A集V17）-XXXXXX（0908XX初测），增加DM，2009-10-28_0938" xfId="212" xr:uid="{00000000-0005-0000-0000-000024010000}"/>
    <cellStyle name="好_中国电信EVDO终端测试报告（A集V17）-XXXXXX（0908XX初测），增加DM，2009-10-28_0938 2" xfId="5" xr:uid="{00000000-0005-0000-0000-000025010000}"/>
    <cellStyle name="好_中国电信EVDO终端测试报告（A集V18）-XXXXX X（0911XX初测）--现网部分（20091224修改版）" xfId="4" xr:uid="{00000000-0005-0000-0000-000026010000}"/>
    <cellStyle name="好_中国电信EVDO终端测试报告（A集V18）-XXXXX X（0911XX初测）--现网部分（20091224修改版） 2" xfId="3" xr:uid="{00000000-0005-0000-0000-000027010000}"/>
    <cellStyle name="好_中国电信EVDO终端测试报告（V23简化集）-XXXXXX（201005XX初测）" xfId="175" xr:uid="{00000000-0005-0000-0000-000028010000}"/>
    <cellStyle name="好_中国电信EVDO终端测试报告（V23简化集）-XXXXXX（201005XX初测） 2" xfId="292" xr:uid="{00000000-0005-0000-0000-000029010000}"/>
    <cellStyle name="好_中国电信EVDO终端测试报告（V23完整集）-XXXXXX（201005XX初测）" xfId="242" xr:uid="{00000000-0005-0000-0000-00002A010000}"/>
    <cellStyle name="好_中国电信EVDO终端测试报告（V23完整集）-XXXXXX（201005XX初测） 2" xfId="2" xr:uid="{00000000-0005-0000-0000-00002B010000}"/>
    <cellStyle name="好_中国电信安全通信业务测试报告-xxxx（201006xxxxx）" xfId="203" xr:uid="{00000000-0005-0000-0000-00002C010000}"/>
    <cellStyle name="好_中国电信安全通信业务测试报告-xxxx（201006xxxxx） 2" xfId="1" xr:uid="{00000000-0005-0000-0000-00002D010000}"/>
    <cellStyle name="货币" xfId="232" builtinId="4"/>
    <cellStyle name="样式 1" xfId="238" xr:uid="{00000000-0005-0000-0000-00002F010000}"/>
    <cellStyle name="一般_20090907_W88 2G 3G Field Trial test report  form" xfId="256" xr:uid="{00000000-0005-0000-0000-000030010000}"/>
  </cellStyles>
  <dxfs count="102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FF00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0066FF"/>
      <color rgb="FF00FF00"/>
      <color rgb="FFFF0000"/>
      <color rgb="FF0000FF"/>
      <color rgb="FF66FFFF"/>
      <color rgb="FF000099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4"/>
  <sheetViews>
    <sheetView workbookViewId="0">
      <selection activeCell="A6" sqref="A6"/>
    </sheetView>
  </sheetViews>
  <sheetFormatPr defaultColWidth="9" defaultRowHeight="13.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14" spans="1:1">
      <c r="A14" s="64" t="s">
        <v>6</v>
      </c>
    </row>
  </sheetData>
  <sheetProtection formatCells="0" insertHyperlinks="0" autoFilter="0"/>
  <phoneticPr fontId="40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>
      <selection activeCell="B11" sqref="B11"/>
    </sheetView>
  </sheetViews>
  <sheetFormatPr defaultColWidth="9" defaultRowHeight="13.5"/>
  <cols>
    <col min="1" max="1" width="10.46484375" style="62" customWidth="1"/>
    <col min="2" max="2" width="28.86328125" style="62" customWidth="1"/>
  </cols>
  <sheetData>
    <row r="1" spans="1:2">
      <c r="A1" s="62" t="s">
        <v>7</v>
      </c>
      <c r="B1" s="62" t="s">
        <v>8</v>
      </c>
    </row>
    <row r="2" spans="1:2">
      <c r="A2" s="62" t="s">
        <v>9</v>
      </c>
      <c r="B2" s="62" t="s">
        <v>10</v>
      </c>
    </row>
    <row r="3" spans="1:2">
      <c r="A3" s="63"/>
      <c r="B3" s="62" t="s">
        <v>11</v>
      </c>
    </row>
    <row r="4" spans="1:2">
      <c r="A4" s="63"/>
      <c r="B4" s="62" t="s">
        <v>12</v>
      </c>
    </row>
    <row r="5" spans="1:2">
      <c r="A5" s="63"/>
      <c r="B5" s="62" t="s">
        <v>13</v>
      </c>
    </row>
    <row r="6" spans="1:2">
      <c r="A6" s="63"/>
    </row>
  </sheetData>
  <sheetProtection formatCells="0" insertHyperlinks="0" autoFilter="0"/>
  <phoneticPr fontId="4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50"/>
  <sheetViews>
    <sheetView tabSelected="1" workbookViewId="0">
      <selection activeCell="J20" sqref="J20"/>
    </sheetView>
  </sheetViews>
  <sheetFormatPr defaultRowHeight="13.5"/>
  <cols>
    <col min="2" max="2" width="20.1328125" customWidth="1"/>
    <col min="3" max="3" width="24.9296875" customWidth="1"/>
  </cols>
  <sheetData>
    <row r="1" spans="1:3">
      <c r="A1" s="69" t="s">
        <v>101</v>
      </c>
      <c r="B1" s="69" t="s">
        <v>100</v>
      </c>
      <c r="C1" s="69" t="s">
        <v>104</v>
      </c>
    </row>
    <row r="2" spans="1:3">
      <c r="A2" s="66" t="s">
        <v>102</v>
      </c>
      <c r="B2" s="68">
        <v>45404.582951388889</v>
      </c>
      <c r="C2" s="67">
        <v>45404.58321759259</v>
      </c>
    </row>
    <row r="3" spans="1:3">
      <c r="A3" s="65" t="s">
        <v>79</v>
      </c>
      <c r="B3" s="67">
        <v>45404.584490740737</v>
      </c>
      <c r="C3" s="67">
        <v>45404.584965277776</v>
      </c>
    </row>
    <row r="4" spans="1:3">
      <c r="A4" s="65" t="s">
        <v>80</v>
      </c>
      <c r="B4" s="67">
        <v>45404.585821759261</v>
      </c>
      <c r="C4" s="67">
        <v>45404.586238425924</v>
      </c>
    </row>
    <row r="5" spans="1:3">
      <c r="A5" s="65" t="s">
        <v>81</v>
      </c>
      <c r="B5" s="67">
        <v>45404.587268518517</v>
      </c>
      <c r="C5" s="67">
        <v>45404.587743055556</v>
      </c>
    </row>
    <row r="6" spans="1:3">
      <c r="A6" s="65" t="s">
        <v>82</v>
      </c>
      <c r="B6" s="67">
        <v>45404.588738425926</v>
      </c>
      <c r="C6" s="67">
        <v>45404.589120370372</v>
      </c>
    </row>
    <row r="7" spans="1:3">
      <c r="A7" s="65" t="s">
        <v>83</v>
      </c>
      <c r="B7" s="67">
        <v>45404.590081018519</v>
      </c>
      <c r="C7" s="67">
        <v>45404.590555555558</v>
      </c>
    </row>
    <row r="8" spans="1:3">
      <c r="A8" s="65" t="s">
        <v>84</v>
      </c>
      <c r="B8" s="67">
        <v>45404.591921296298</v>
      </c>
      <c r="C8" s="67">
        <v>45404.592326388891</v>
      </c>
    </row>
    <row r="9" spans="1:3">
      <c r="A9" s="65" t="s">
        <v>85</v>
      </c>
      <c r="B9" s="67">
        <v>45404.593298611115</v>
      </c>
      <c r="C9" s="67">
        <v>45404.593715277777</v>
      </c>
    </row>
    <row r="10" spans="1:3">
      <c r="A10" s="65" t="s">
        <v>86</v>
      </c>
      <c r="B10" s="67">
        <v>45404.595196759263</v>
      </c>
      <c r="C10" s="67">
        <v>45404.595659722225</v>
      </c>
    </row>
    <row r="11" spans="1:3">
      <c r="A11" s="65" t="s">
        <v>87</v>
      </c>
      <c r="B11" s="67">
        <v>45404.596875000003</v>
      </c>
      <c r="C11" s="67">
        <v>45404.597407407404</v>
      </c>
    </row>
    <row r="12" spans="1:3">
      <c r="A12" s="65" t="s">
        <v>88</v>
      </c>
      <c r="B12" s="67">
        <v>45404.598425925928</v>
      </c>
      <c r="C12" s="67">
        <v>45404.598668981482</v>
      </c>
    </row>
    <row r="13" spans="1:3">
      <c r="A13" s="65" t="s">
        <v>89</v>
      </c>
      <c r="B13" s="67">
        <v>45404.599641203706</v>
      </c>
      <c r="C13" s="67">
        <v>45404.599942129629</v>
      </c>
    </row>
    <row r="14" spans="1:3">
      <c r="A14" s="65" t="s">
        <v>90</v>
      </c>
      <c r="B14" s="67">
        <v>45404.601099537038</v>
      </c>
      <c r="C14" s="67">
        <v>45404.601550925923</v>
      </c>
    </row>
    <row r="15" spans="1:3">
      <c r="A15" s="65" t="s">
        <v>91</v>
      </c>
      <c r="B15" s="67">
        <v>45404.602199074077</v>
      </c>
      <c r="C15" s="67">
        <v>45404.602719907409</v>
      </c>
    </row>
    <row r="16" spans="1:3">
      <c r="A16" s="65" t="s">
        <v>92</v>
      </c>
      <c r="B16" s="67">
        <v>45404.603541666664</v>
      </c>
      <c r="C16" s="67">
        <v>45404.604062500002</v>
      </c>
    </row>
    <row r="17" spans="1:3">
      <c r="A17" s="65" t="s">
        <v>93</v>
      </c>
      <c r="B17" s="67">
        <v>45404.60564814815</v>
      </c>
      <c r="C17" s="67">
        <v>45404.605949074074</v>
      </c>
    </row>
    <row r="18" spans="1:3">
      <c r="A18" s="65" t="s">
        <v>94</v>
      </c>
      <c r="B18" s="67">
        <v>45404.607060185182</v>
      </c>
      <c r="C18" s="67">
        <v>45404.607476851852</v>
      </c>
    </row>
    <row r="19" spans="1:3">
      <c r="A19" s="65" t="s">
        <v>95</v>
      </c>
      <c r="B19" s="67">
        <v>45404.608506944445</v>
      </c>
      <c r="C19" s="67">
        <v>45404.608993055554</v>
      </c>
    </row>
    <row r="20" spans="1:3">
      <c r="A20" s="65" t="s">
        <v>96</v>
      </c>
      <c r="B20" s="67">
        <v>45404.610046296293</v>
      </c>
      <c r="C20" s="67">
        <v>45404.61041666667</v>
      </c>
    </row>
    <row r="21" spans="1:3">
      <c r="A21" s="65" t="s">
        <v>97</v>
      </c>
      <c r="B21" s="67">
        <v>45404.611898148149</v>
      </c>
      <c r="C21" s="67">
        <v>45404.612175925926</v>
      </c>
    </row>
    <row r="22" spans="1:3">
      <c r="A22" s="65" t="s">
        <v>98</v>
      </c>
      <c r="B22" s="67">
        <v>45404.613333333335</v>
      </c>
      <c r="C22" s="67">
        <v>45404.615069444444</v>
      </c>
    </row>
    <row r="23" spans="1:3">
      <c r="A23" s="65" t="s">
        <v>99</v>
      </c>
      <c r="B23" s="67">
        <v>45404.615428240744</v>
      </c>
      <c r="C23" s="67">
        <v>45404.615624999999</v>
      </c>
    </row>
    <row r="24" spans="1:3">
      <c r="A24" s="66" t="s">
        <v>103</v>
      </c>
      <c r="B24" s="67">
        <v>45404.616724537038</v>
      </c>
      <c r="C24" s="68">
        <v>45404.616990740738</v>
      </c>
    </row>
    <row r="27" spans="1:3">
      <c r="A27" s="69" t="s">
        <v>101</v>
      </c>
      <c r="B27" s="69" t="s">
        <v>100</v>
      </c>
      <c r="C27" s="69" t="s">
        <v>104</v>
      </c>
    </row>
    <row r="28" spans="1:3">
      <c r="A28" s="65" t="s">
        <v>103</v>
      </c>
      <c r="B28" s="67">
        <v>45404.650983796295</v>
      </c>
      <c r="C28" s="67">
        <v>45404.651226851849</v>
      </c>
    </row>
    <row r="29" spans="1:3">
      <c r="A29" s="65" t="s">
        <v>99</v>
      </c>
      <c r="B29" s="67">
        <v>45404.652395833335</v>
      </c>
      <c r="C29" s="67">
        <v>45404.652986111112</v>
      </c>
    </row>
    <row r="30" spans="1:3">
      <c r="A30" s="65" t="s">
        <v>98</v>
      </c>
      <c r="B30" s="67">
        <v>45404.654432870368</v>
      </c>
      <c r="C30" s="67">
        <v>45404.654756944445</v>
      </c>
    </row>
    <row r="31" spans="1:3">
      <c r="A31" s="65" t="s">
        <v>97</v>
      </c>
      <c r="B31" s="67">
        <v>45404.65587962963</v>
      </c>
      <c r="C31" s="67">
        <v>45404.656053240738</v>
      </c>
    </row>
    <row r="32" spans="1:3">
      <c r="A32" s="65" t="s">
        <v>96</v>
      </c>
      <c r="B32" s="67">
        <v>45404.657800925925</v>
      </c>
      <c r="C32" s="67">
        <v>45404.658229166664</v>
      </c>
    </row>
    <row r="33" spans="1:3">
      <c r="A33" s="65" t="s">
        <v>95</v>
      </c>
      <c r="B33" s="67">
        <v>45404.659282407411</v>
      </c>
      <c r="C33" s="67">
        <v>45404.659710648149</v>
      </c>
    </row>
    <row r="34" spans="1:3">
      <c r="A34" s="65" t="s">
        <v>94</v>
      </c>
      <c r="B34" s="67">
        <v>45404.660682870373</v>
      </c>
      <c r="C34" s="67">
        <v>45404.66101851852</v>
      </c>
    </row>
    <row r="35" spans="1:3">
      <c r="A35" s="65" t="s">
        <v>93</v>
      </c>
      <c r="B35" s="67">
        <v>45404.662060185183</v>
      </c>
      <c r="C35" s="67">
        <v>45404.662453703706</v>
      </c>
    </row>
    <row r="36" spans="1:3">
      <c r="A36" s="65" t="s">
        <v>92</v>
      </c>
      <c r="B36" s="67">
        <v>45404.663958333331</v>
      </c>
      <c r="C36" s="67">
        <v>45404.664664351854</v>
      </c>
    </row>
    <row r="37" spans="1:3">
      <c r="A37" s="65" t="s">
        <v>91</v>
      </c>
      <c r="B37" s="67">
        <v>45404.665497685186</v>
      </c>
      <c r="C37" s="67">
        <v>45404.665949074071</v>
      </c>
    </row>
    <row r="38" spans="1:3">
      <c r="A38" s="65" t="s">
        <v>90</v>
      </c>
      <c r="B38" s="67">
        <v>45404.666712962964</v>
      </c>
      <c r="C38" s="67">
        <v>45404.667129629626</v>
      </c>
    </row>
    <row r="39" spans="1:3">
      <c r="A39" s="65" t="s">
        <v>89</v>
      </c>
      <c r="B39" s="67">
        <v>45404.66814814815</v>
      </c>
      <c r="C39" s="67">
        <v>45404.668611111112</v>
      </c>
    </row>
    <row r="40" spans="1:3">
      <c r="A40" s="65" t="s">
        <v>88</v>
      </c>
      <c r="B40" s="67">
        <v>45404.66951388889</v>
      </c>
      <c r="C40" s="67">
        <v>45404.669918981483</v>
      </c>
    </row>
    <row r="41" spans="1:3">
      <c r="A41" s="65" t="s">
        <v>87</v>
      </c>
      <c r="B41" s="67">
        <v>45404.670949074076</v>
      </c>
      <c r="C41" s="67">
        <v>45404.671331018515</v>
      </c>
    </row>
    <row r="42" spans="1:3">
      <c r="A42" s="65" t="s">
        <v>86</v>
      </c>
      <c r="B42" s="67">
        <v>45404.672719907408</v>
      </c>
      <c r="C42" s="67">
        <v>45404.673009259262</v>
      </c>
    </row>
    <row r="43" spans="1:3">
      <c r="A43" s="65" t="s">
        <v>85</v>
      </c>
      <c r="B43" s="67">
        <v>45404.674502314818</v>
      </c>
      <c r="C43" s="67">
        <v>45404.674803240741</v>
      </c>
    </row>
    <row r="44" spans="1:3">
      <c r="A44" s="65" t="s">
        <v>84</v>
      </c>
      <c r="B44" s="67">
        <v>45404.675798611112</v>
      </c>
      <c r="C44" s="67">
        <v>45404.676226851851</v>
      </c>
    </row>
    <row r="45" spans="1:3">
      <c r="A45" s="65" t="s">
        <v>83</v>
      </c>
      <c r="B45" s="67">
        <v>45404.67759259259</v>
      </c>
      <c r="C45" s="67">
        <v>45404.678182870368</v>
      </c>
    </row>
    <row r="46" spans="1:3">
      <c r="A46" s="65" t="s">
        <v>82</v>
      </c>
      <c r="B46" s="67">
        <v>45404.679166666669</v>
      </c>
      <c r="C46" s="67">
        <v>45404.679664351854</v>
      </c>
    </row>
    <row r="47" spans="1:3">
      <c r="A47" s="65" t="s">
        <v>81</v>
      </c>
      <c r="B47" s="67">
        <v>45404.680636574078</v>
      </c>
      <c r="C47" s="67">
        <v>45404.68136574074</v>
      </c>
    </row>
    <row r="48" spans="1:3">
      <c r="A48" s="65" t="s">
        <v>80</v>
      </c>
      <c r="B48" s="67">
        <v>45404.682430555556</v>
      </c>
      <c r="C48" s="67">
        <v>45404.68277777778</v>
      </c>
    </row>
    <row r="49" spans="1:3">
      <c r="A49" s="65" t="s">
        <v>79</v>
      </c>
      <c r="B49" s="67">
        <v>45404.68372685185</v>
      </c>
      <c r="C49" s="67">
        <v>45404.68414351852</v>
      </c>
    </row>
    <row r="50" spans="1:3">
      <c r="A50" s="65" t="s">
        <v>102</v>
      </c>
      <c r="B50" s="67">
        <v>45404.685266203705</v>
      </c>
      <c r="C50" s="67">
        <v>45404.685474537036</v>
      </c>
    </row>
  </sheetData>
  <phoneticPr fontId="4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F68"/>
  <sheetViews>
    <sheetView workbookViewId="0">
      <selection activeCell="D14" sqref="D14"/>
    </sheetView>
  </sheetViews>
  <sheetFormatPr defaultColWidth="9" defaultRowHeight="13.5"/>
  <cols>
    <col min="1" max="1" width="13.46484375" customWidth="1"/>
    <col min="2" max="2" width="36" customWidth="1"/>
    <col min="3" max="3" width="11.73046875" customWidth="1"/>
    <col min="4" max="4" width="36" customWidth="1"/>
    <col min="5" max="5" width="11.86328125" customWidth="1"/>
    <col min="6" max="6" width="28.1328125" customWidth="1"/>
  </cols>
  <sheetData>
    <row r="1" spans="1:6" ht="24.75" customHeight="1">
      <c r="A1" s="70" t="s">
        <v>15</v>
      </c>
      <c r="B1" s="70"/>
      <c r="C1" s="70"/>
      <c r="D1" s="70"/>
      <c r="E1" s="70"/>
      <c r="F1" s="70"/>
    </row>
    <row r="3" spans="1:6" ht="16.5" customHeight="1">
      <c r="A3" s="71" t="s">
        <v>16</v>
      </c>
      <c r="B3" s="71"/>
      <c r="C3" s="71"/>
      <c r="D3" s="71"/>
      <c r="E3" s="71"/>
      <c r="F3" s="71"/>
    </row>
    <row r="4" spans="1:6" ht="14.25" customHeight="1"/>
    <row r="5" spans="1:6">
      <c r="B5" s="54" t="s">
        <v>17</v>
      </c>
      <c r="C5" s="55">
        <f>AVERAGE(B9:B28)</f>
        <v>11</v>
      </c>
      <c r="D5" s="55" t="s">
        <v>18</v>
      </c>
      <c r="E5" s="60">
        <f>COUNTIF(C9:C28,"Y")/(COUNTIF(C8:C28,"Y")+COUNTIF(C8:C28,"N"))</f>
        <v>1</v>
      </c>
    </row>
    <row r="6" spans="1:6">
      <c r="B6" s="54" t="s">
        <v>19</v>
      </c>
      <c r="C6" s="55">
        <f>AVERAGE(D9:D28)</f>
        <v>12.34</v>
      </c>
      <c r="D6" s="55" t="s">
        <v>18</v>
      </c>
      <c r="E6" s="60">
        <f>COUNTIF(E9:E28,"Y")/(COUNTIF(E9:E28,"Y")+COUNTIF(E9:E28,"N"))</f>
        <v>0.9</v>
      </c>
    </row>
    <row r="7" spans="1:6" ht="15.75" customHeight="1"/>
    <row r="8" spans="1:6" ht="25.5">
      <c r="A8" s="56" t="s">
        <v>20</v>
      </c>
      <c r="B8" s="57" t="s">
        <v>21</v>
      </c>
      <c r="C8" s="57" t="s">
        <v>22</v>
      </c>
      <c r="D8" s="57" t="s">
        <v>23</v>
      </c>
      <c r="E8" s="57" t="s">
        <v>22</v>
      </c>
      <c r="F8" s="61" t="s">
        <v>24</v>
      </c>
    </row>
    <row r="9" spans="1:6">
      <c r="A9" s="58">
        <v>1</v>
      </c>
      <c r="B9" s="59">
        <v>11</v>
      </c>
      <c r="C9" s="13" t="s">
        <v>25</v>
      </c>
      <c r="D9" s="59">
        <v>12.34</v>
      </c>
      <c r="E9" s="13" t="s">
        <v>26</v>
      </c>
      <c r="F9" s="13"/>
    </row>
    <row r="10" spans="1:6">
      <c r="A10" s="58">
        <v>2</v>
      </c>
      <c r="B10" s="59"/>
      <c r="C10" s="13" t="s">
        <v>25</v>
      </c>
      <c r="D10" s="59"/>
      <c r="E10" s="13" t="s">
        <v>26</v>
      </c>
      <c r="F10" s="13"/>
    </row>
    <row r="11" spans="1:6">
      <c r="A11" s="58">
        <v>3</v>
      </c>
      <c r="B11" s="59"/>
      <c r="C11" s="13" t="s">
        <v>25</v>
      </c>
      <c r="D11" s="59"/>
      <c r="E11" s="13" t="s">
        <v>25</v>
      </c>
      <c r="F11" s="13"/>
    </row>
    <row r="12" spans="1:6">
      <c r="A12" s="58">
        <v>4</v>
      </c>
      <c r="B12" s="59"/>
      <c r="C12" s="13" t="s">
        <v>25</v>
      </c>
      <c r="D12" s="59"/>
      <c r="E12" s="13" t="s">
        <v>25</v>
      </c>
      <c r="F12" s="13"/>
    </row>
    <row r="13" spans="1:6">
      <c r="A13" s="58">
        <v>5</v>
      </c>
      <c r="B13" s="59"/>
      <c r="C13" s="13" t="s">
        <v>25</v>
      </c>
      <c r="D13" s="59"/>
      <c r="E13" s="13" t="s">
        <v>25</v>
      </c>
      <c r="F13" s="13"/>
    </row>
    <row r="14" spans="1:6">
      <c r="A14" s="58">
        <v>6</v>
      </c>
      <c r="B14" s="59"/>
      <c r="C14" s="13" t="s">
        <v>25</v>
      </c>
      <c r="D14" s="59"/>
      <c r="E14" s="13" t="s">
        <v>25</v>
      </c>
      <c r="F14" s="13"/>
    </row>
    <row r="15" spans="1:6">
      <c r="A15" s="58">
        <v>7</v>
      </c>
      <c r="B15" s="59"/>
      <c r="C15" s="13" t="s">
        <v>25</v>
      </c>
      <c r="D15" s="59"/>
      <c r="E15" s="13" t="s">
        <v>25</v>
      </c>
      <c r="F15" s="13"/>
    </row>
    <row r="16" spans="1:6">
      <c r="A16" s="58">
        <v>8</v>
      </c>
      <c r="B16" s="59"/>
      <c r="C16" s="13" t="s">
        <v>25</v>
      </c>
      <c r="D16" s="59"/>
      <c r="E16" s="13" t="s">
        <v>25</v>
      </c>
      <c r="F16" s="13"/>
    </row>
    <row r="17" spans="1:6">
      <c r="A17" s="58">
        <v>9</v>
      </c>
      <c r="B17" s="59"/>
      <c r="C17" s="13" t="s">
        <v>25</v>
      </c>
      <c r="D17" s="59"/>
      <c r="E17" s="13" t="s">
        <v>25</v>
      </c>
      <c r="F17" s="13"/>
    </row>
    <row r="18" spans="1:6">
      <c r="A18" s="58">
        <v>10</v>
      </c>
      <c r="B18" s="59"/>
      <c r="C18" s="13" t="s">
        <v>25</v>
      </c>
      <c r="D18" s="59"/>
      <c r="E18" s="13" t="s">
        <v>25</v>
      </c>
      <c r="F18" s="13"/>
    </row>
    <row r="19" spans="1:6">
      <c r="A19" s="58">
        <v>11</v>
      </c>
      <c r="B19" s="59"/>
      <c r="C19" s="13" t="s">
        <v>25</v>
      </c>
      <c r="D19" s="59"/>
      <c r="E19" s="13" t="s">
        <v>25</v>
      </c>
      <c r="F19" s="13"/>
    </row>
    <row r="20" spans="1:6">
      <c r="A20" s="58">
        <v>12</v>
      </c>
      <c r="B20" s="59"/>
      <c r="C20" s="13" t="s">
        <v>25</v>
      </c>
      <c r="D20" s="59"/>
      <c r="E20" s="13" t="s">
        <v>25</v>
      </c>
      <c r="F20" s="13"/>
    </row>
    <row r="21" spans="1:6">
      <c r="A21" s="58">
        <v>13</v>
      </c>
      <c r="B21" s="59"/>
      <c r="C21" s="13" t="s">
        <v>25</v>
      </c>
      <c r="D21" s="59"/>
      <c r="E21" s="13" t="s">
        <v>25</v>
      </c>
      <c r="F21" s="13"/>
    </row>
    <row r="22" spans="1:6">
      <c r="A22" s="58">
        <v>14</v>
      </c>
      <c r="B22" s="59"/>
      <c r="C22" s="13" t="s">
        <v>25</v>
      </c>
      <c r="D22" s="59"/>
      <c r="E22" s="13" t="s">
        <v>25</v>
      </c>
      <c r="F22" s="41"/>
    </row>
    <row r="23" spans="1:6">
      <c r="A23" s="58">
        <v>15</v>
      </c>
      <c r="B23" s="59"/>
      <c r="C23" s="13" t="s">
        <v>25</v>
      </c>
      <c r="D23" s="59"/>
      <c r="E23" s="13" t="s">
        <v>25</v>
      </c>
      <c r="F23" s="13"/>
    </row>
    <row r="24" spans="1:6">
      <c r="A24" s="58">
        <v>16</v>
      </c>
      <c r="B24" s="59"/>
      <c r="C24" s="13" t="s">
        <v>25</v>
      </c>
      <c r="D24" s="59"/>
      <c r="E24" s="13" t="s">
        <v>25</v>
      </c>
      <c r="F24" s="13"/>
    </row>
    <row r="25" spans="1:6">
      <c r="A25" s="58">
        <v>17</v>
      </c>
      <c r="B25" s="59"/>
      <c r="C25" s="13" t="s">
        <v>25</v>
      </c>
      <c r="D25" s="59"/>
      <c r="E25" s="13" t="s">
        <v>25</v>
      </c>
      <c r="F25" s="13"/>
    </row>
    <row r="26" spans="1:6" ht="14.25" customHeight="1">
      <c r="A26" s="58">
        <v>18</v>
      </c>
      <c r="B26" s="59"/>
      <c r="C26" s="13" t="s">
        <v>25</v>
      </c>
      <c r="D26" s="59"/>
      <c r="E26" s="13" t="s">
        <v>25</v>
      </c>
      <c r="F26" s="13"/>
    </row>
    <row r="27" spans="1:6">
      <c r="A27" s="58">
        <v>19</v>
      </c>
      <c r="B27" s="59"/>
      <c r="C27" s="13" t="s">
        <v>25</v>
      </c>
      <c r="D27" s="59"/>
      <c r="E27" s="13" t="s">
        <v>25</v>
      </c>
      <c r="F27" s="13"/>
    </row>
    <row r="28" spans="1:6">
      <c r="A28" s="58">
        <v>20</v>
      </c>
      <c r="B28" s="59"/>
      <c r="C28" s="13" t="s">
        <v>25</v>
      </c>
      <c r="D28" s="59"/>
      <c r="E28" s="13" t="s">
        <v>25</v>
      </c>
      <c r="F28" s="41"/>
    </row>
    <row r="60" ht="16.5" customHeight="1"/>
    <row r="64" ht="16.5" customHeight="1"/>
    <row r="67" spans="1:6" s="53" customFormat="1">
      <c r="A67"/>
      <c r="B67"/>
      <c r="C67"/>
      <c r="D67"/>
      <c r="E67"/>
      <c r="F67"/>
    </row>
    <row r="68" spans="1:6">
      <c r="A68" s="53"/>
      <c r="B68" s="53"/>
      <c r="C68" s="53"/>
      <c r="D68" s="53"/>
      <c r="E68" s="53"/>
      <c r="F68" s="53"/>
    </row>
  </sheetData>
  <sheetProtection formatCells="0" insertHyperlinks="0" autoFilter="0"/>
  <mergeCells count="2">
    <mergeCell ref="A1:F1"/>
    <mergeCell ref="A3:F3"/>
  </mergeCells>
  <phoneticPr fontId="40" type="noConversion"/>
  <conditionalFormatting sqref="C9:C28">
    <cfRule type="cellIs" dxfId="101" priority="3" operator="equal">
      <formula>"N"</formula>
    </cfRule>
    <cfRule type="cellIs" dxfId="100" priority="4" operator="equal">
      <formula>"Y"</formula>
    </cfRule>
  </conditionalFormatting>
  <conditionalFormatting sqref="E9:E28">
    <cfRule type="cellIs" dxfId="99" priority="1" operator="equal">
      <formula>"N"</formula>
    </cfRule>
    <cfRule type="cellIs" dxfId="98" priority="2" operator="equal">
      <formula>"Y"</formula>
    </cfRule>
  </conditionalFormatting>
  <conditionalFormatting sqref="F12:F17 A12:A17">
    <cfRule type="cellIs" dxfId="97" priority="9" stopIfTrue="1" operator="equal">
      <formula>"N"</formula>
    </cfRule>
  </conditionalFormatting>
  <dataValidations count="1">
    <dataValidation type="list" allowBlank="1" showInputMessage="1" showErrorMessage="1" sqref="C9:C28 E9:E28" xr:uid="{00000000-0002-0000-0300-000000000000}">
      <formula1>"Y,N"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/>
  <dimension ref="C4:H7"/>
  <sheetViews>
    <sheetView workbookViewId="0">
      <selection activeCell="I16" sqref="A1:XFD1048576"/>
    </sheetView>
  </sheetViews>
  <sheetFormatPr defaultColWidth="9" defaultRowHeight="13.5"/>
  <cols>
    <col min="6" max="6" width="9.46484375" customWidth="1"/>
    <col min="7" max="7" width="34.265625" customWidth="1"/>
    <col min="8" max="8" width="25.86328125" customWidth="1"/>
    <col min="9" max="9" width="29.265625" customWidth="1"/>
  </cols>
  <sheetData>
    <row r="4" spans="3:8">
      <c r="E4" s="42" t="s">
        <v>27</v>
      </c>
      <c r="F4" s="13" t="s">
        <v>28</v>
      </c>
      <c r="G4" s="13" t="s">
        <v>29</v>
      </c>
      <c r="H4" s="13" t="s">
        <v>30</v>
      </c>
    </row>
    <row r="5" spans="3:8">
      <c r="C5" t="s">
        <v>31</v>
      </c>
      <c r="E5" s="42">
        <v>110</v>
      </c>
      <c r="F5" s="10">
        <v>43751.603692129604</v>
      </c>
      <c r="G5" s="5">
        <v>43751.603761574101</v>
      </c>
      <c r="H5" s="5">
        <v>43751.603784722203</v>
      </c>
    </row>
    <row r="6" spans="3:8">
      <c r="E6" s="42">
        <v>119</v>
      </c>
      <c r="F6" s="10">
        <v>43751.607928240701</v>
      </c>
      <c r="G6" s="5">
        <v>43751.608055555596</v>
      </c>
      <c r="H6" s="5">
        <v>43751.608043981498</v>
      </c>
    </row>
    <row r="7" spans="3:8">
      <c r="E7" s="42">
        <v>112</v>
      </c>
      <c r="F7" s="10">
        <v>43751.6114467593</v>
      </c>
      <c r="G7" s="5" t="s">
        <v>32</v>
      </c>
      <c r="H7" s="5" t="s">
        <v>32</v>
      </c>
    </row>
  </sheetData>
  <sheetProtection formatCells="0" insertHyperlinks="0" autoFilter="0"/>
  <phoneticPr fontId="4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6"/>
  <dimension ref="C4:H6"/>
  <sheetViews>
    <sheetView workbookViewId="0">
      <selection activeCell="G10" sqref="A1:XFD1048576"/>
    </sheetView>
  </sheetViews>
  <sheetFormatPr defaultColWidth="9" defaultRowHeight="13.5"/>
  <cols>
    <col min="6" max="6" width="9.46484375" customWidth="1"/>
    <col min="7" max="7" width="34.265625" customWidth="1"/>
    <col min="8" max="8" width="25.86328125" customWidth="1"/>
    <col min="9" max="9" width="29.265625" customWidth="1"/>
  </cols>
  <sheetData>
    <row r="4" spans="3:8">
      <c r="E4" s="42" t="s">
        <v>27</v>
      </c>
      <c r="F4" s="13" t="s">
        <v>28</v>
      </c>
      <c r="G4" s="13" t="s">
        <v>29</v>
      </c>
      <c r="H4" s="13" t="s">
        <v>30</v>
      </c>
    </row>
    <row r="5" spans="3:8">
      <c r="C5" t="s">
        <v>33</v>
      </c>
      <c r="E5" s="42">
        <v>110</v>
      </c>
      <c r="F5" s="10">
        <v>43751.654849537001</v>
      </c>
      <c r="G5" s="5">
        <v>43751.6549421296</v>
      </c>
      <c r="H5" s="5">
        <v>43751.654965277798</v>
      </c>
    </row>
    <row r="6" spans="3:8">
      <c r="E6" s="42">
        <v>112</v>
      </c>
      <c r="F6" s="10">
        <v>43751.659872685203</v>
      </c>
      <c r="G6" s="5" t="s">
        <v>34</v>
      </c>
      <c r="H6" s="5" t="s">
        <v>35</v>
      </c>
    </row>
  </sheetData>
  <sheetProtection formatCells="0" insertHyperlinks="0" autoFilter="0"/>
  <phoneticPr fontId="40" type="noConversion"/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/>
  <dimension ref="B3:O35"/>
  <sheetViews>
    <sheetView workbookViewId="0">
      <selection activeCell="M12" sqref="A1:XFD1048576"/>
    </sheetView>
  </sheetViews>
  <sheetFormatPr defaultColWidth="9" defaultRowHeight="13.5"/>
  <cols>
    <col min="3" max="12" width="9.46484375" customWidth="1"/>
    <col min="14" max="14" width="9.46484375" customWidth="1"/>
  </cols>
  <sheetData>
    <row r="3" spans="2:15">
      <c r="C3" s="73" t="s">
        <v>36</v>
      </c>
      <c r="D3" s="73"/>
      <c r="E3" s="73"/>
      <c r="F3" s="73"/>
      <c r="G3" s="73"/>
      <c r="H3" s="73"/>
      <c r="J3" s="73" t="s">
        <v>37</v>
      </c>
      <c r="K3" s="73"/>
      <c r="L3" s="73"/>
      <c r="M3" s="73"/>
      <c r="N3" s="73"/>
      <c r="O3" s="73"/>
    </row>
    <row r="4" spans="2:15">
      <c r="C4" s="1" t="s">
        <v>38</v>
      </c>
      <c r="D4" s="1" t="s">
        <v>39</v>
      </c>
      <c r="E4" s="2" t="s">
        <v>40</v>
      </c>
      <c r="F4" s="2" t="s">
        <v>41</v>
      </c>
      <c r="G4" s="17" t="s">
        <v>42</v>
      </c>
      <c r="H4" s="17" t="s">
        <v>41</v>
      </c>
      <c r="J4" s="1" t="s">
        <v>38</v>
      </c>
      <c r="K4" s="1" t="s">
        <v>39</v>
      </c>
      <c r="L4" s="2" t="s">
        <v>40</v>
      </c>
      <c r="M4" s="2" t="s">
        <v>41</v>
      </c>
      <c r="N4" s="17" t="s">
        <v>42</v>
      </c>
      <c r="O4" s="17" t="s">
        <v>41</v>
      </c>
    </row>
    <row r="5" spans="2:15">
      <c r="C5" s="3">
        <v>1</v>
      </c>
      <c r="D5" s="16">
        <v>43752.647523148102</v>
      </c>
      <c r="E5" s="5">
        <v>43752.647546296299</v>
      </c>
      <c r="F5" s="14" t="s">
        <v>43</v>
      </c>
      <c r="G5" s="14">
        <v>43752.647557870398</v>
      </c>
      <c r="H5" s="14" t="s">
        <v>43</v>
      </c>
      <c r="J5" s="3">
        <v>1</v>
      </c>
      <c r="K5" s="6">
        <v>43752.656458333302</v>
      </c>
      <c r="L5" s="5">
        <v>43752.656620370399</v>
      </c>
      <c r="M5" s="14" t="s">
        <v>43</v>
      </c>
      <c r="N5" s="6">
        <v>43752.6565162037</v>
      </c>
      <c r="O5" s="14" t="s">
        <v>43</v>
      </c>
    </row>
    <row r="6" spans="2:15">
      <c r="C6" s="3">
        <v>2</v>
      </c>
      <c r="D6" s="6">
        <v>43752.647592592599</v>
      </c>
      <c r="E6" s="5">
        <v>43752.6476273148</v>
      </c>
      <c r="F6" s="14" t="s">
        <v>43</v>
      </c>
      <c r="G6" s="6">
        <v>43752.647638888899</v>
      </c>
      <c r="H6" s="14" t="s">
        <v>43</v>
      </c>
      <c r="J6" s="3">
        <v>2</v>
      </c>
      <c r="K6" s="6">
        <v>43752.6566550926</v>
      </c>
      <c r="L6" s="5">
        <v>43752.656770833302</v>
      </c>
      <c r="M6" s="14" t="s">
        <v>43</v>
      </c>
      <c r="N6" s="6">
        <v>43752.656689814801</v>
      </c>
      <c r="O6" s="14" t="s">
        <v>43</v>
      </c>
    </row>
    <row r="7" spans="2:15">
      <c r="C7" s="3">
        <v>3</v>
      </c>
      <c r="D7" s="6">
        <v>43752.647662037001</v>
      </c>
      <c r="E7" s="5">
        <v>43752.647696759297</v>
      </c>
      <c r="F7" s="14" t="s">
        <v>43</v>
      </c>
      <c r="G7" s="6">
        <v>43752.647708333301</v>
      </c>
      <c r="H7" s="14" t="s">
        <v>43</v>
      </c>
      <c r="J7" s="3">
        <v>3</v>
      </c>
      <c r="K7" s="6">
        <v>43752.656805555598</v>
      </c>
      <c r="L7" s="5">
        <v>43752.656909722202</v>
      </c>
      <c r="M7" s="14" t="s">
        <v>43</v>
      </c>
      <c r="N7" s="6">
        <v>43752.656840277799</v>
      </c>
      <c r="O7" s="14" t="s">
        <v>43</v>
      </c>
    </row>
    <row r="8" spans="2:15">
      <c r="C8" s="3">
        <v>4</v>
      </c>
      <c r="D8" s="6">
        <v>43752.647731481498</v>
      </c>
      <c r="E8" s="5">
        <v>43752.647754629601</v>
      </c>
      <c r="F8" s="14" t="s">
        <v>43</v>
      </c>
      <c r="G8" s="14">
        <v>43752.647754629601</v>
      </c>
      <c r="H8" s="14" t="s">
        <v>43</v>
      </c>
      <c r="J8" s="3">
        <v>4</v>
      </c>
      <c r="K8" s="10">
        <v>43752.656944444403</v>
      </c>
      <c r="L8" s="10">
        <v>43752.657002314802</v>
      </c>
      <c r="M8" s="14" t="s">
        <v>43</v>
      </c>
      <c r="N8" s="10">
        <v>43752.6569675926</v>
      </c>
      <c r="O8" s="14" t="s">
        <v>43</v>
      </c>
    </row>
    <row r="9" spans="2:15">
      <c r="C9" s="3">
        <v>5</v>
      </c>
      <c r="D9" s="6">
        <v>43752.647789351897</v>
      </c>
      <c r="E9" s="5">
        <v>43752.647824074098</v>
      </c>
      <c r="F9" s="14" t="s">
        <v>43</v>
      </c>
      <c r="G9" s="6">
        <v>43752.647824074098</v>
      </c>
      <c r="H9" s="14" t="s">
        <v>43</v>
      </c>
      <c r="J9" s="3">
        <v>5</v>
      </c>
      <c r="K9" s="10">
        <v>43752.657037037003</v>
      </c>
      <c r="L9" s="10">
        <v>43752.657129629602</v>
      </c>
      <c r="M9" s="14" t="s">
        <v>43</v>
      </c>
      <c r="N9" s="10">
        <v>43752.657071759299</v>
      </c>
      <c r="O9" s="14" t="s">
        <v>43</v>
      </c>
    </row>
    <row r="10" spans="2:15">
      <c r="C10" s="44"/>
      <c r="D10" s="45"/>
      <c r="E10" s="47"/>
      <c r="F10" s="48"/>
      <c r="G10" s="49"/>
      <c r="H10" s="50"/>
    </row>
    <row r="11" spans="2:15">
      <c r="C11" s="44"/>
      <c r="D11" s="46"/>
      <c r="E11" s="4"/>
      <c r="F11" s="51"/>
      <c r="G11" s="46"/>
      <c r="H11" s="51"/>
    </row>
    <row r="12" spans="2:15" ht="15.75">
      <c r="B12" s="74" t="s">
        <v>44</v>
      </c>
      <c r="C12" s="74"/>
      <c r="D12" s="74"/>
      <c r="E12" s="74"/>
      <c r="F12" s="74"/>
      <c r="G12" s="74"/>
      <c r="H12" s="74"/>
      <c r="I12" s="74"/>
      <c r="J12" s="74"/>
    </row>
    <row r="13" spans="2:15" ht="15.75">
      <c r="B13" s="7" t="s">
        <v>45</v>
      </c>
      <c r="C13" s="75" t="s">
        <v>14</v>
      </c>
      <c r="D13" s="75"/>
      <c r="E13" s="75"/>
      <c r="F13" s="75"/>
      <c r="G13" s="76" t="s">
        <v>46</v>
      </c>
      <c r="H13" s="77"/>
      <c r="I13" s="77"/>
      <c r="J13" s="78"/>
    </row>
    <row r="14" spans="2:15">
      <c r="B14" s="8" t="s">
        <v>47</v>
      </c>
      <c r="C14" s="8" t="s">
        <v>48</v>
      </c>
      <c r="D14" s="8" t="s">
        <v>49</v>
      </c>
      <c r="E14" s="72" t="s">
        <v>50</v>
      </c>
      <c r="F14" s="72"/>
      <c r="G14" s="8" t="s">
        <v>48</v>
      </c>
      <c r="H14" s="8" t="s">
        <v>49</v>
      </c>
      <c r="I14" s="72" t="s">
        <v>50</v>
      </c>
      <c r="J14" s="72"/>
    </row>
    <row r="15" spans="2:15" ht="15.75">
      <c r="B15" s="9">
        <v>1</v>
      </c>
      <c r="C15" s="10">
        <v>43752.661388888897</v>
      </c>
      <c r="D15" s="10">
        <v>43752.661412037</v>
      </c>
      <c r="E15" s="18">
        <f>(D15-C15)*24*60*60</f>
        <v>1.9999960670247674</v>
      </c>
      <c r="F15" s="19"/>
      <c r="G15" s="10">
        <v>43752.661388888897</v>
      </c>
      <c r="H15" s="10">
        <v>43752.661412037</v>
      </c>
      <c r="I15" s="18">
        <f t="shared" ref="I15:I34" si="0">(H15-G15)*24*60*60</f>
        <v>1.9999960670247674</v>
      </c>
      <c r="J15" s="31"/>
      <c r="L15" s="16"/>
    </row>
    <row r="16" spans="2:15">
      <c r="B16" s="9">
        <v>2</v>
      </c>
      <c r="C16" s="10">
        <v>43752.661643518499</v>
      </c>
      <c r="D16" s="10">
        <v>43752.661655092597</v>
      </c>
      <c r="E16" s="18">
        <f t="shared" ref="E16:E34" si="1">(D16-C16)*24*60*60</f>
        <v>1.0000021196901798</v>
      </c>
      <c r="G16" s="10">
        <v>43752.661643518499</v>
      </c>
      <c r="H16" s="10">
        <v>43752.661666666703</v>
      </c>
      <c r="I16" s="18">
        <f t="shared" si="0"/>
        <v>2.0000048680230975</v>
      </c>
      <c r="J16" s="31"/>
    </row>
    <row r="17" spans="2:10" ht="15.75">
      <c r="B17" s="9">
        <v>3</v>
      </c>
      <c r="C17" s="10">
        <v>43752.661724537</v>
      </c>
      <c r="D17" s="10">
        <v>43752.661736111098</v>
      </c>
      <c r="E17" s="18">
        <f t="shared" si="1"/>
        <v>1.0000021196901798</v>
      </c>
      <c r="F17" s="52"/>
      <c r="G17" s="10">
        <v>43752.661724537</v>
      </c>
      <c r="H17" s="10">
        <v>43752.661747685197</v>
      </c>
      <c r="I17" s="18">
        <f t="shared" si="0"/>
        <v>2.0000042393803596</v>
      </c>
      <c r="J17" s="31"/>
    </row>
    <row r="18" spans="2:10" ht="15.75">
      <c r="B18" s="9">
        <v>4</v>
      </c>
      <c r="C18" s="10">
        <v>43752.661805555603</v>
      </c>
      <c r="D18" s="10">
        <v>43752.661805555603</v>
      </c>
      <c r="E18" s="18">
        <f t="shared" si="1"/>
        <v>0</v>
      </c>
      <c r="F18" s="52"/>
      <c r="G18" s="10">
        <v>43752.661805555603</v>
      </c>
      <c r="H18" s="10">
        <v>43752.6618171296</v>
      </c>
      <c r="I18" s="18">
        <f t="shared" si="0"/>
        <v>0.99999331869184971</v>
      </c>
      <c r="J18" s="31"/>
    </row>
    <row r="19" spans="2:10" ht="15.75">
      <c r="B19" s="9">
        <v>5</v>
      </c>
      <c r="C19" s="10">
        <v>43752.661874999998</v>
      </c>
      <c r="D19" s="10">
        <v>43752.661874999998</v>
      </c>
      <c r="E19" s="18">
        <f t="shared" si="1"/>
        <v>0</v>
      </c>
      <c r="F19" s="52"/>
      <c r="G19" s="10">
        <v>43752.661874999998</v>
      </c>
      <c r="H19" s="10">
        <v>43752.661886574097</v>
      </c>
      <c r="I19" s="18">
        <f t="shared" si="0"/>
        <v>1.0000021196901798</v>
      </c>
      <c r="J19" s="31"/>
    </row>
    <row r="20" spans="2:10" ht="15.75">
      <c r="B20" s="9">
        <v>6</v>
      </c>
      <c r="C20" s="10">
        <v>43752.661932870396</v>
      </c>
      <c r="D20" s="10">
        <v>43752.661932870396</v>
      </c>
      <c r="E20" s="18">
        <f t="shared" si="1"/>
        <v>0</v>
      </c>
      <c r="F20" s="52"/>
      <c r="G20" s="10">
        <v>43752.661932870396</v>
      </c>
      <c r="H20" s="10">
        <v>43752.6619444444</v>
      </c>
      <c r="I20" s="18">
        <f t="shared" si="0"/>
        <v>0.99999394733458757</v>
      </c>
      <c r="J20" s="31"/>
    </row>
    <row r="21" spans="2:10" ht="15.75">
      <c r="B21" s="9">
        <v>7</v>
      </c>
      <c r="C21" s="10">
        <v>43752.662002314799</v>
      </c>
      <c r="D21" s="10">
        <v>43752.662002314799</v>
      </c>
      <c r="E21" s="18">
        <f t="shared" si="1"/>
        <v>0</v>
      </c>
      <c r="F21" s="52"/>
      <c r="G21" s="10">
        <v>43752.662002314799</v>
      </c>
      <c r="H21" s="10">
        <v>43752.662013888897</v>
      </c>
      <c r="I21" s="18">
        <f t="shared" si="0"/>
        <v>1.0000021196901798</v>
      </c>
      <c r="J21" s="31"/>
    </row>
    <row r="22" spans="2:10" ht="15.75">
      <c r="B22" s="9">
        <v>8</v>
      </c>
      <c r="C22" s="10">
        <v>43752.662060185197</v>
      </c>
      <c r="D22" s="10">
        <v>43752.662071759303</v>
      </c>
      <c r="E22" s="18">
        <f t="shared" si="1"/>
        <v>1.0000027483329177</v>
      </c>
      <c r="F22" s="52"/>
      <c r="G22" s="10">
        <v>43752.662060185197</v>
      </c>
      <c r="H22" s="10">
        <v>43752.6620833333</v>
      </c>
      <c r="I22" s="18">
        <f t="shared" si="0"/>
        <v>1.9999960670247674</v>
      </c>
      <c r="J22" s="31"/>
    </row>
    <row r="23" spans="2:10" ht="15.75">
      <c r="B23" s="9">
        <v>9</v>
      </c>
      <c r="C23" s="10">
        <v>43752.662141203698</v>
      </c>
      <c r="D23" s="10">
        <v>43752.662141203698</v>
      </c>
      <c r="E23" s="18">
        <f t="shared" si="1"/>
        <v>0</v>
      </c>
      <c r="F23" s="52"/>
      <c r="G23" s="10">
        <v>43752.662141203698</v>
      </c>
      <c r="H23" s="10">
        <v>43752.662152777797</v>
      </c>
      <c r="I23" s="18">
        <f t="shared" si="0"/>
        <v>1.0000021196901798</v>
      </c>
      <c r="J23" s="31"/>
    </row>
    <row r="24" spans="2:10" ht="15.75">
      <c r="B24" s="9">
        <v>10</v>
      </c>
      <c r="C24" s="10">
        <v>43752.662210648101</v>
      </c>
      <c r="D24" s="10">
        <v>43752.662210648101</v>
      </c>
      <c r="E24" s="18">
        <f t="shared" si="1"/>
        <v>0</v>
      </c>
      <c r="F24" s="52"/>
      <c r="G24" s="10">
        <v>43752.662210648101</v>
      </c>
      <c r="H24" s="10">
        <v>43752.662222222199</v>
      </c>
      <c r="I24" s="18">
        <f t="shared" si="0"/>
        <v>1.0000021196901798</v>
      </c>
      <c r="J24" s="31"/>
    </row>
    <row r="25" spans="2:10" ht="15.75">
      <c r="B25" s="9">
        <v>11</v>
      </c>
      <c r="C25" s="10">
        <v>43752.662280092598</v>
      </c>
      <c r="D25" s="10">
        <v>43752.662280092598</v>
      </c>
      <c r="E25" s="18">
        <f t="shared" si="1"/>
        <v>0</v>
      </c>
      <c r="F25" s="52"/>
      <c r="G25" s="10">
        <v>43752.662280092598</v>
      </c>
      <c r="H25" s="10">
        <v>43752.662291666697</v>
      </c>
      <c r="I25" s="18">
        <f t="shared" si="0"/>
        <v>1.0000021196901798</v>
      </c>
      <c r="J25" s="31"/>
    </row>
    <row r="26" spans="2:10" ht="15.75">
      <c r="B26" s="9">
        <v>12</v>
      </c>
      <c r="C26" s="10">
        <v>43752.662337962996</v>
      </c>
      <c r="D26" s="10">
        <v>43752.662349537</v>
      </c>
      <c r="E26" s="18">
        <f t="shared" si="1"/>
        <v>0.99999394733458757</v>
      </c>
      <c r="F26" s="52"/>
      <c r="G26" s="10">
        <v>43752.662337962996</v>
      </c>
      <c r="H26" s="10">
        <v>43752.662349537</v>
      </c>
      <c r="I26" s="18">
        <f t="shared" si="0"/>
        <v>0.99999394733458757</v>
      </c>
      <c r="J26" s="31"/>
    </row>
    <row r="27" spans="2:10" ht="15.75">
      <c r="B27" s="9">
        <v>13</v>
      </c>
      <c r="C27" s="10">
        <v>43752.6623958333</v>
      </c>
      <c r="D27" s="10">
        <v>43752.6623958333</v>
      </c>
      <c r="E27" s="18">
        <f t="shared" si="1"/>
        <v>0</v>
      </c>
      <c r="F27" s="52"/>
      <c r="G27" s="10">
        <v>43752.6623958333</v>
      </c>
      <c r="H27" s="10">
        <v>43752.662407407399</v>
      </c>
      <c r="I27" s="18">
        <f t="shared" si="0"/>
        <v>1.0000021196901798</v>
      </c>
      <c r="J27" s="31"/>
    </row>
    <row r="28" spans="2:10" ht="15.75">
      <c r="B28" s="9">
        <v>14</v>
      </c>
      <c r="C28" s="10">
        <v>43752.662453703699</v>
      </c>
      <c r="D28" s="10">
        <v>43752.662465277797</v>
      </c>
      <c r="E28" s="18">
        <f t="shared" si="1"/>
        <v>1.0000021196901798</v>
      </c>
      <c r="F28" s="52"/>
      <c r="G28" s="10">
        <v>43752.662453703699</v>
      </c>
      <c r="H28" s="10">
        <v>43752.662476851903</v>
      </c>
      <c r="I28" s="18">
        <f t="shared" si="0"/>
        <v>2.0000048680230975</v>
      </c>
      <c r="J28" s="31"/>
    </row>
    <row r="29" spans="2:10" ht="15.75">
      <c r="B29" s="9">
        <v>15</v>
      </c>
      <c r="C29" s="10">
        <v>43752.662511574097</v>
      </c>
      <c r="D29" s="10">
        <v>43752.662523148101</v>
      </c>
      <c r="E29" s="18">
        <f t="shared" si="1"/>
        <v>0.99999394733458757</v>
      </c>
      <c r="F29" s="52"/>
      <c r="G29" s="10">
        <v>43752.662511574097</v>
      </c>
      <c r="H29" s="10">
        <v>43752.662523148101</v>
      </c>
      <c r="I29" s="18">
        <f t="shared" si="0"/>
        <v>0.99999394733458757</v>
      </c>
      <c r="J29" s="31"/>
    </row>
    <row r="30" spans="2:10" ht="15.75">
      <c r="B30" s="9">
        <v>16</v>
      </c>
      <c r="C30" s="10">
        <v>43752.662650462997</v>
      </c>
      <c r="D30" s="10">
        <v>43752.662662037001</v>
      </c>
      <c r="E30" s="18">
        <f t="shared" si="1"/>
        <v>0.99999394733458757</v>
      </c>
      <c r="F30" s="52"/>
      <c r="G30" s="10">
        <v>43752.662650462997</v>
      </c>
      <c r="H30" s="10">
        <v>43752.662662037001</v>
      </c>
      <c r="I30" s="18">
        <f t="shared" si="0"/>
        <v>0.99999394733458757</v>
      </c>
      <c r="J30" s="31"/>
    </row>
    <row r="31" spans="2:10" ht="15.75">
      <c r="B31" s="9">
        <v>17</v>
      </c>
      <c r="C31" s="10">
        <v>43752.662708333301</v>
      </c>
      <c r="D31" s="10">
        <v>43752.662708333301</v>
      </c>
      <c r="E31" s="18">
        <f t="shared" si="1"/>
        <v>0</v>
      </c>
      <c r="F31" s="52"/>
      <c r="G31" s="10">
        <v>43752.662708333301</v>
      </c>
      <c r="H31" s="10">
        <v>43752.662719907399</v>
      </c>
      <c r="I31" s="18">
        <f t="shared" si="0"/>
        <v>1.0000021196901798</v>
      </c>
      <c r="J31" s="31"/>
    </row>
    <row r="32" spans="2:10" ht="15.75">
      <c r="B32" s="9">
        <v>18</v>
      </c>
      <c r="C32" s="10">
        <v>43752.662766203699</v>
      </c>
      <c r="D32" s="10">
        <v>43752.662777777798</v>
      </c>
      <c r="E32" s="18">
        <f t="shared" si="1"/>
        <v>1.0000021196901798</v>
      </c>
      <c r="F32" s="52"/>
      <c r="G32" s="10">
        <v>43752.662766203699</v>
      </c>
      <c r="H32" s="10">
        <v>43752.662777777798</v>
      </c>
      <c r="I32" s="18">
        <f t="shared" si="0"/>
        <v>1.0000021196901798</v>
      </c>
      <c r="J32" s="31"/>
    </row>
    <row r="33" spans="2:10" ht="15.75">
      <c r="B33" s="9">
        <v>19</v>
      </c>
      <c r="C33" s="10">
        <v>43752.662812499999</v>
      </c>
      <c r="D33" s="10">
        <v>43752.662824074097</v>
      </c>
      <c r="E33" s="18">
        <f t="shared" si="1"/>
        <v>1.0000021196901798</v>
      </c>
      <c r="F33" s="52"/>
      <c r="G33" s="10">
        <v>43752.662812499999</v>
      </c>
      <c r="H33" s="10">
        <v>43752.662835648101</v>
      </c>
      <c r="I33" s="18">
        <f t="shared" si="0"/>
        <v>1.9999960670247674</v>
      </c>
      <c r="J33" s="31"/>
    </row>
    <row r="34" spans="2:10" ht="15.75">
      <c r="B34" s="9">
        <v>20</v>
      </c>
      <c r="C34" s="10">
        <v>43752.662870370397</v>
      </c>
      <c r="D34" s="10">
        <v>43752.662870370397</v>
      </c>
      <c r="E34" s="18">
        <f t="shared" si="1"/>
        <v>0</v>
      </c>
      <c r="F34" s="52"/>
      <c r="G34" s="10">
        <v>43752.662870370397</v>
      </c>
      <c r="H34" s="10">
        <v>43752.662881944401</v>
      </c>
      <c r="I34" s="18">
        <f t="shared" si="0"/>
        <v>0.99999394733458757</v>
      </c>
      <c r="J34" s="31"/>
    </row>
    <row r="35" spans="2:10">
      <c r="B35" s="11" t="s">
        <v>51</v>
      </c>
      <c r="C35" s="11"/>
      <c r="D35" s="12"/>
      <c r="E35" s="20">
        <f>AVERAGE(E15:E34)</f>
        <v>0.54999956279061735</v>
      </c>
      <c r="F35" s="20" t="e">
        <f>AVERAGE(F15:F34)</f>
        <v>#DIV/0!</v>
      </c>
      <c r="G35" s="11"/>
      <c r="H35" s="12"/>
      <c r="I35" s="33">
        <f>AVERAGE(I15:I34)</f>
        <v>1.2999991094693542</v>
      </c>
      <c r="J35" s="33" t="e">
        <f>AVERAGE(J15:J34)</f>
        <v>#DIV/0!</v>
      </c>
    </row>
  </sheetData>
  <sheetProtection formatCells="0" insertHyperlinks="0" autoFilter="0"/>
  <mergeCells count="7">
    <mergeCell ref="E14:F14"/>
    <mergeCell ref="I14:J14"/>
    <mergeCell ref="C3:H3"/>
    <mergeCell ref="J3:O3"/>
    <mergeCell ref="B12:J12"/>
    <mergeCell ref="C13:F13"/>
    <mergeCell ref="G13:J13"/>
  </mergeCells>
  <phoneticPr fontId="40" type="noConversion"/>
  <conditionalFormatting sqref="G5">
    <cfRule type="cellIs" dxfId="96" priority="1" operator="equal">
      <formula>"失败"</formula>
    </cfRule>
    <cfRule type="cellIs" dxfId="95" priority="2" operator="equal">
      <formula>"未通"</formula>
    </cfRule>
  </conditionalFormatting>
  <conditionalFormatting sqref="E5:E11">
    <cfRule type="cellIs" dxfId="94" priority="9" operator="equal">
      <formula>"未通"</formula>
    </cfRule>
    <cfRule type="cellIs" dxfId="93" priority="10" operator="equal">
      <formula>"失败"</formula>
    </cfRule>
  </conditionalFormatting>
  <conditionalFormatting sqref="L5:L7">
    <cfRule type="cellIs" dxfId="92" priority="3" operator="equal">
      <formula>"未通"</formula>
    </cfRule>
    <cfRule type="cellIs" dxfId="91" priority="4" operator="equal">
      <formula>"失败"</formula>
    </cfRule>
  </conditionalFormatting>
  <conditionalFormatting sqref="M5:M9">
    <cfRule type="cellIs" dxfId="90" priority="7" operator="equal">
      <formula>"失败"</formula>
    </cfRule>
    <cfRule type="cellIs" dxfId="89" priority="8" operator="equal">
      <formula>"未通"</formula>
    </cfRule>
  </conditionalFormatting>
  <conditionalFormatting sqref="O5:O9">
    <cfRule type="cellIs" dxfId="88" priority="5" operator="equal">
      <formula>"失败"</formula>
    </cfRule>
    <cfRule type="cellIs" dxfId="87" priority="6" operator="equal">
      <formula>"未通"</formula>
    </cfRule>
  </conditionalFormatting>
  <conditionalFormatting sqref="H5:H7 H9:H11 G8:H8 F5:F11">
    <cfRule type="cellIs" dxfId="86" priority="11" operator="equal">
      <formula>"失败"</formula>
    </cfRule>
    <cfRule type="cellIs" dxfId="85" priority="12" operator="equal">
      <formula>"未通"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4"/>
  <dimension ref="B2:Q87"/>
  <sheetViews>
    <sheetView workbookViewId="0">
      <selection activeCell="C47" sqref="C47"/>
    </sheetView>
  </sheetViews>
  <sheetFormatPr defaultColWidth="9" defaultRowHeight="13.5"/>
  <cols>
    <col min="3" max="3" width="12.46484375" customWidth="1"/>
    <col min="4" max="4" width="10.86328125" customWidth="1"/>
    <col min="5" max="6" width="10.46484375" customWidth="1"/>
    <col min="7" max="8" width="9.46484375" customWidth="1"/>
    <col min="10" max="11" width="9.46484375" customWidth="1"/>
    <col min="13" max="16" width="9.46484375" customWidth="1"/>
  </cols>
  <sheetData>
    <row r="2" spans="2:17">
      <c r="B2" s="73" t="s">
        <v>52</v>
      </c>
      <c r="C2" s="73"/>
      <c r="D2" s="73"/>
      <c r="E2" s="73"/>
      <c r="F2" s="73"/>
      <c r="G2" s="73"/>
      <c r="I2" s="73" t="s">
        <v>53</v>
      </c>
      <c r="J2" s="73"/>
      <c r="K2" s="73"/>
      <c r="L2" s="73"/>
      <c r="M2" s="73"/>
      <c r="N2" s="73"/>
    </row>
    <row r="3" spans="2:17">
      <c r="B3" s="1" t="s">
        <v>38</v>
      </c>
      <c r="C3" s="1" t="s">
        <v>39</v>
      </c>
      <c r="D3" s="2" t="s">
        <v>40</v>
      </c>
      <c r="E3" s="2" t="s">
        <v>41</v>
      </c>
      <c r="F3" s="17" t="s">
        <v>42</v>
      </c>
      <c r="G3" s="17" t="s">
        <v>41</v>
      </c>
      <c r="I3" s="1" t="s">
        <v>38</v>
      </c>
      <c r="J3" s="1" t="s">
        <v>39</v>
      </c>
      <c r="K3" s="21" t="s">
        <v>40</v>
      </c>
      <c r="L3" s="2" t="s">
        <v>41</v>
      </c>
      <c r="M3" s="1" t="s">
        <v>42</v>
      </c>
      <c r="N3" s="17" t="s">
        <v>41</v>
      </c>
    </row>
    <row r="4" spans="2:17">
      <c r="B4" s="3">
        <v>1</v>
      </c>
      <c r="C4" s="4">
        <v>43761.614108796297</v>
      </c>
      <c r="D4" s="5">
        <v>43761.614143518498</v>
      </c>
      <c r="E4" s="14" t="s">
        <v>43</v>
      </c>
      <c r="F4" s="14">
        <v>43761.614155092597</v>
      </c>
      <c r="G4" s="14" t="s">
        <v>43</v>
      </c>
      <c r="I4" s="3">
        <v>1</v>
      </c>
      <c r="J4" s="5">
        <v>43761.614664351902</v>
      </c>
      <c r="K4" s="5">
        <v>43761.614768518499</v>
      </c>
      <c r="L4" s="14" t="s">
        <v>43</v>
      </c>
      <c r="M4" s="5">
        <v>43761.614710648202</v>
      </c>
      <c r="N4" s="14" t="s">
        <v>43</v>
      </c>
    </row>
    <row r="5" spans="2:17">
      <c r="B5" s="3">
        <v>2</v>
      </c>
      <c r="C5" s="6">
        <v>43761.614178240699</v>
      </c>
      <c r="D5" s="5">
        <v>43761.614189814798</v>
      </c>
      <c r="E5" s="14" t="s">
        <v>43</v>
      </c>
      <c r="F5" s="6">
        <v>43761.614201388897</v>
      </c>
      <c r="G5" s="14" t="s">
        <v>43</v>
      </c>
      <c r="I5" s="3">
        <v>2</v>
      </c>
      <c r="J5" s="5">
        <v>43761.614791666703</v>
      </c>
      <c r="K5" s="5">
        <v>43761.6148958333</v>
      </c>
      <c r="L5" s="14" t="s">
        <v>43</v>
      </c>
      <c r="M5" s="5">
        <v>43761.614837963003</v>
      </c>
      <c r="N5" s="14" t="s">
        <v>43</v>
      </c>
    </row>
    <row r="6" spans="2:17">
      <c r="B6" s="3">
        <v>3</v>
      </c>
      <c r="C6" s="6">
        <v>43761.614224536999</v>
      </c>
      <c r="D6" s="5">
        <v>43761.614259259302</v>
      </c>
      <c r="E6" s="14" t="s">
        <v>43</v>
      </c>
      <c r="F6" s="5">
        <v>43761.614270833299</v>
      </c>
      <c r="G6" s="14" t="s">
        <v>43</v>
      </c>
      <c r="I6" s="3">
        <v>3</v>
      </c>
      <c r="J6" s="5">
        <v>43761.614918981497</v>
      </c>
      <c r="K6" s="5">
        <v>43761.615011574097</v>
      </c>
      <c r="L6" s="14" t="s">
        <v>43</v>
      </c>
      <c r="M6" s="5">
        <v>43761.614953703698</v>
      </c>
      <c r="N6" s="14" t="s">
        <v>43</v>
      </c>
    </row>
    <row r="7" spans="2:17">
      <c r="B7" s="3">
        <v>4</v>
      </c>
      <c r="C7" s="6">
        <v>43761.614282407398</v>
      </c>
      <c r="D7" s="5">
        <v>43761.614293981504</v>
      </c>
      <c r="E7" s="14" t="s">
        <v>43</v>
      </c>
      <c r="F7" s="14">
        <v>43761.614305555602</v>
      </c>
      <c r="G7" s="14" t="s">
        <v>43</v>
      </c>
      <c r="I7" s="3">
        <v>4</v>
      </c>
      <c r="J7" s="5">
        <v>43761.615034722199</v>
      </c>
      <c r="K7" s="5">
        <v>43761.6152083333</v>
      </c>
      <c r="L7" s="14" t="s">
        <v>43</v>
      </c>
      <c r="M7" s="5">
        <v>43761.615104166704</v>
      </c>
      <c r="N7" s="14" t="s">
        <v>43</v>
      </c>
    </row>
    <row r="8" spans="2:17">
      <c r="B8" s="3">
        <v>5</v>
      </c>
      <c r="C8" s="6">
        <v>43761.614317129599</v>
      </c>
      <c r="D8" s="5">
        <v>43761.614340277803</v>
      </c>
      <c r="E8" s="14" t="s">
        <v>43</v>
      </c>
      <c r="F8" s="6">
        <v>43761.614351851902</v>
      </c>
      <c r="G8" s="14" t="s">
        <v>43</v>
      </c>
      <c r="I8" s="3">
        <v>5</v>
      </c>
      <c r="J8" s="5">
        <v>43761.615219907399</v>
      </c>
      <c r="K8" s="5">
        <v>43761.615358796298</v>
      </c>
      <c r="L8" s="14" t="s">
        <v>43</v>
      </c>
      <c r="M8" s="5">
        <v>43761.6152546296</v>
      </c>
      <c r="N8" s="14" t="s">
        <v>43</v>
      </c>
    </row>
    <row r="10" spans="2:17" ht="15.75">
      <c r="B10" s="84" t="s">
        <v>54</v>
      </c>
      <c r="C10" s="84"/>
      <c r="D10" s="84"/>
      <c r="E10" s="84"/>
      <c r="F10" s="84"/>
      <c r="G10" s="84"/>
      <c r="H10" s="84"/>
      <c r="I10" s="84"/>
      <c r="J10" s="84"/>
      <c r="L10" s="85" t="s">
        <v>55</v>
      </c>
      <c r="M10" s="86"/>
      <c r="N10" s="86"/>
      <c r="O10" s="86"/>
      <c r="P10" s="86"/>
      <c r="Q10" s="87"/>
    </row>
    <row r="11" spans="2:17" ht="15.75">
      <c r="B11" s="7" t="s">
        <v>45</v>
      </c>
      <c r="C11" s="75" t="s">
        <v>14</v>
      </c>
      <c r="D11" s="75"/>
      <c r="E11" s="75"/>
      <c r="F11" s="75"/>
      <c r="G11" s="76" t="s">
        <v>46</v>
      </c>
      <c r="H11" s="77"/>
      <c r="I11" s="77"/>
      <c r="J11" s="78"/>
      <c r="L11" s="7" t="s">
        <v>38</v>
      </c>
      <c r="M11" s="24" t="s">
        <v>56</v>
      </c>
      <c r="N11" s="34" t="s">
        <v>57</v>
      </c>
      <c r="O11" s="35" t="s">
        <v>58</v>
      </c>
      <c r="P11" s="36" t="s">
        <v>59</v>
      </c>
      <c r="Q11" s="40" t="s">
        <v>58</v>
      </c>
    </row>
    <row r="12" spans="2:17">
      <c r="B12" s="8" t="s">
        <v>47</v>
      </c>
      <c r="C12" s="8" t="s">
        <v>48</v>
      </c>
      <c r="D12" s="8" t="s">
        <v>49</v>
      </c>
      <c r="E12" s="72" t="s">
        <v>50</v>
      </c>
      <c r="F12" s="72"/>
      <c r="G12" s="8" t="s">
        <v>48</v>
      </c>
      <c r="H12" s="8" t="s">
        <v>49</v>
      </c>
      <c r="I12" s="72" t="s">
        <v>50</v>
      </c>
      <c r="J12" s="72"/>
      <c r="L12" s="30">
        <v>1</v>
      </c>
      <c r="M12" s="5">
        <v>43761.617789351898</v>
      </c>
      <c r="N12" s="10">
        <v>43761.617812500001</v>
      </c>
      <c r="O12" s="37">
        <f>(N12-M12)*24*60*60</f>
        <v>1.9999960670247674</v>
      </c>
      <c r="P12" s="10">
        <v>43761.617824074099</v>
      </c>
      <c r="Q12" s="37">
        <f>(P12-M12)*24*60*60</f>
        <v>2.9999981867149472</v>
      </c>
    </row>
    <row r="13" spans="2:17" ht="15.75">
      <c r="B13" s="9">
        <v>1</v>
      </c>
      <c r="C13" s="10">
        <v>43761.616006944401</v>
      </c>
      <c r="D13" s="10">
        <v>43761.6160185185</v>
      </c>
      <c r="E13" s="18">
        <f t="shared" ref="E13:E32" si="0">(D13-C13)*24*60*60</f>
        <v>1.0000021196901798</v>
      </c>
      <c r="F13" s="19"/>
      <c r="G13" s="10">
        <v>43761.616030092599</v>
      </c>
      <c r="H13" s="10"/>
      <c r="I13" s="18">
        <f t="shared" ref="I13:I32" si="1">(H13-G13)*24*60*60</f>
        <v>-3781003625.000001</v>
      </c>
      <c r="J13" s="31"/>
      <c r="L13" s="30">
        <v>2</v>
      </c>
      <c r="M13" s="5">
        <v>43761.617928240703</v>
      </c>
      <c r="N13" s="10">
        <v>43761.6179513889</v>
      </c>
      <c r="O13" s="37">
        <f t="shared" ref="O13:O31" si="2">(N13-M13)*24*60*60</f>
        <v>2.0000042393803596</v>
      </c>
      <c r="P13" s="10">
        <v>43761.617962962999</v>
      </c>
      <c r="Q13" s="37">
        <f t="shared" ref="Q13:Q31" si="3">(P13-M13)*24*60*60</f>
        <v>3.0000063590705395</v>
      </c>
    </row>
    <row r="14" spans="2:17">
      <c r="B14" s="9">
        <v>2</v>
      </c>
      <c r="C14" s="10">
        <v>43761.616087962997</v>
      </c>
      <c r="D14" s="10">
        <v>43761.616087962997</v>
      </c>
      <c r="E14" s="18">
        <f t="shared" si="0"/>
        <v>0</v>
      </c>
      <c r="F14" s="16"/>
      <c r="G14" s="10">
        <v>43761.616087962997</v>
      </c>
      <c r="H14" s="10"/>
      <c r="I14" s="18">
        <f t="shared" si="1"/>
        <v>-3781003630.0000029</v>
      </c>
      <c r="J14" s="31"/>
      <c r="L14" s="30">
        <v>3</v>
      </c>
      <c r="M14" s="5">
        <v>43761.618055555598</v>
      </c>
      <c r="N14" s="10">
        <v>43761.618078703701</v>
      </c>
      <c r="O14" s="37">
        <f t="shared" si="2"/>
        <v>1.9999960670247674</v>
      </c>
      <c r="P14" s="10">
        <v>43761.6180902778</v>
      </c>
      <c r="Q14" s="37">
        <f t="shared" si="3"/>
        <v>2.9999981867149472</v>
      </c>
    </row>
    <row r="15" spans="2:17" ht="15.75">
      <c r="B15" s="9">
        <v>3</v>
      </c>
      <c r="C15" s="10">
        <v>43761.6161111111</v>
      </c>
      <c r="D15" s="10">
        <v>43761.616122685198</v>
      </c>
      <c r="E15" s="18">
        <f t="shared" si="0"/>
        <v>1.0000021196901798</v>
      </c>
      <c r="F15" s="19"/>
      <c r="G15" s="10">
        <v>43761.616122685198</v>
      </c>
      <c r="H15" s="10"/>
      <c r="I15" s="18">
        <f t="shared" si="1"/>
        <v>-3781003633.000001</v>
      </c>
      <c r="J15" s="31"/>
      <c r="L15" s="30">
        <v>4</v>
      </c>
      <c r="M15" s="5">
        <v>43761.618182870399</v>
      </c>
      <c r="N15" s="10">
        <v>43761.618206018502</v>
      </c>
      <c r="O15" s="37">
        <f t="shared" si="2"/>
        <v>1.9999960670247674</v>
      </c>
      <c r="P15" s="5">
        <v>43761.618206018502</v>
      </c>
      <c r="Q15" s="37">
        <f t="shared" si="3"/>
        <v>1.9999960670247674</v>
      </c>
    </row>
    <row r="16" spans="2:17" ht="15.75">
      <c r="B16" s="9">
        <v>4</v>
      </c>
      <c r="C16" s="10">
        <v>43761.616157407399</v>
      </c>
      <c r="D16" s="10">
        <v>43761.616157407399</v>
      </c>
      <c r="E16" s="18">
        <f t="shared" si="0"/>
        <v>0</v>
      </c>
      <c r="F16" s="19"/>
      <c r="G16" s="10">
        <v>43761.616168981498</v>
      </c>
      <c r="H16" s="10"/>
      <c r="I16" s="18">
        <f t="shared" si="1"/>
        <v>-3781003637.0000014</v>
      </c>
      <c r="J16" s="31"/>
      <c r="L16" s="30">
        <v>5</v>
      </c>
      <c r="M16" s="5">
        <v>43761.6183101852</v>
      </c>
      <c r="N16" s="10">
        <v>43761.618321759299</v>
      </c>
      <c r="O16" s="37">
        <f t="shared" si="2"/>
        <v>1.0000021196901798</v>
      </c>
      <c r="P16" s="10">
        <v>43761.618333333303</v>
      </c>
      <c r="Q16" s="37">
        <f t="shared" si="3"/>
        <v>1.9999960670247674</v>
      </c>
    </row>
    <row r="17" spans="2:17" ht="15.75">
      <c r="B17" s="9">
        <v>5</v>
      </c>
      <c r="C17" s="10">
        <v>43761.616192129601</v>
      </c>
      <c r="D17" s="10">
        <v>43761.616203703699</v>
      </c>
      <c r="E17" s="18">
        <f t="shared" si="0"/>
        <v>1.0000021196901798</v>
      </c>
      <c r="F17" s="19"/>
      <c r="G17" s="10">
        <v>43761.616203703699</v>
      </c>
      <c r="H17" s="10"/>
      <c r="I17" s="18">
        <f t="shared" si="1"/>
        <v>-3781003640</v>
      </c>
      <c r="J17" s="31"/>
      <c r="L17" s="32">
        <v>6</v>
      </c>
      <c r="M17" s="5">
        <v>43761.618425925903</v>
      </c>
      <c r="N17" s="10">
        <v>43761.618437500001</v>
      </c>
      <c r="O17" s="37">
        <f t="shared" si="2"/>
        <v>1.0000021196901798</v>
      </c>
      <c r="P17" s="10">
        <v>43761.6184490741</v>
      </c>
      <c r="Q17" s="37">
        <f t="shared" si="3"/>
        <v>2.0000042393803596</v>
      </c>
    </row>
    <row r="18" spans="2:17" ht="15.75">
      <c r="B18" s="9">
        <v>6</v>
      </c>
      <c r="C18" s="10">
        <v>43761.616238425901</v>
      </c>
      <c r="D18" s="10">
        <v>43761.616238425901</v>
      </c>
      <c r="E18" s="18">
        <f t="shared" si="0"/>
        <v>0</v>
      </c>
      <c r="F18" s="19"/>
      <c r="G18" s="10">
        <v>43761.616249999999</v>
      </c>
      <c r="H18" s="10"/>
      <c r="I18" s="18">
        <f t="shared" si="1"/>
        <v>-3781003644.0000005</v>
      </c>
      <c r="J18" s="31"/>
      <c r="L18" s="30">
        <v>7</v>
      </c>
      <c r="M18" s="5">
        <v>43761.618553240703</v>
      </c>
      <c r="N18" s="10">
        <v>43761.618576388901</v>
      </c>
      <c r="O18" s="37">
        <f t="shared" si="2"/>
        <v>2.0000042393803596</v>
      </c>
      <c r="P18" s="10">
        <v>43761.618576388901</v>
      </c>
      <c r="Q18" s="37">
        <f t="shared" si="3"/>
        <v>2.0000042393803596</v>
      </c>
    </row>
    <row r="19" spans="2:17" ht="15.75">
      <c r="B19" s="9">
        <v>7</v>
      </c>
      <c r="C19" s="10">
        <v>43761.6162847222</v>
      </c>
      <c r="D19" s="10">
        <v>43761.6162847222</v>
      </c>
      <c r="E19" s="18">
        <f t="shared" si="0"/>
        <v>0</v>
      </c>
      <c r="F19" s="19"/>
      <c r="G19" s="10">
        <v>43761.6162847222</v>
      </c>
      <c r="H19" s="10"/>
      <c r="I19" s="18">
        <f t="shared" si="1"/>
        <v>-3781003646.9999981</v>
      </c>
      <c r="J19" s="31"/>
      <c r="L19" s="30">
        <v>8</v>
      </c>
      <c r="M19" s="5">
        <v>43761.618680555599</v>
      </c>
      <c r="N19" s="10">
        <v>43761.618692129603</v>
      </c>
      <c r="O19" s="37">
        <f t="shared" si="2"/>
        <v>0.99999394733458757</v>
      </c>
      <c r="P19" s="10">
        <v>43761.618703703702</v>
      </c>
      <c r="Q19" s="37">
        <f t="shared" si="3"/>
        <v>1.9999960670247674</v>
      </c>
    </row>
    <row r="20" spans="2:17" ht="15.75">
      <c r="B20" s="9">
        <v>8</v>
      </c>
      <c r="C20" s="10">
        <v>43761.616319444402</v>
      </c>
      <c r="D20" s="10">
        <v>43761.616319444402</v>
      </c>
      <c r="E20" s="18">
        <f t="shared" si="0"/>
        <v>0</v>
      </c>
      <c r="F20" s="19"/>
      <c r="G20" s="10">
        <v>43761.616319444402</v>
      </c>
      <c r="H20" s="10"/>
      <c r="I20" s="18">
        <f t="shared" si="1"/>
        <v>-3781003649.9999962</v>
      </c>
      <c r="J20" s="31"/>
      <c r="L20" s="30">
        <v>9</v>
      </c>
      <c r="M20" s="5">
        <v>43761.618819444397</v>
      </c>
      <c r="N20" s="10">
        <v>43761.618842592601</v>
      </c>
      <c r="O20" s="37">
        <f t="shared" si="2"/>
        <v>2.0000048680230975</v>
      </c>
      <c r="P20" s="10">
        <v>43761.618842592601</v>
      </c>
      <c r="Q20" s="37">
        <f t="shared" si="3"/>
        <v>2.0000048680230975</v>
      </c>
    </row>
    <row r="21" spans="2:17" ht="15.75">
      <c r="B21" s="9">
        <v>9</v>
      </c>
      <c r="C21" s="10">
        <v>43761.616354166697</v>
      </c>
      <c r="D21" s="10">
        <v>43761.616365740701</v>
      </c>
      <c r="E21" s="18">
        <f t="shared" si="0"/>
        <v>0.99999394733458757</v>
      </c>
      <c r="F21" s="19"/>
      <c r="G21" s="10">
        <v>43761.616365740701</v>
      </c>
      <c r="H21" s="10"/>
      <c r="I21" s="18">
        <f t="shared" si="1"/>
        <v>-3781003653.9999962</v>
      </c>
      <c r="J21" s="31"/>
      <c r="L21" s="30">
        <v>10</v>
      </c>
      <c r="M21" s="5">
        <v>43761.618969907402</v>
      </c>
      <c r="N21" s="10">
        <v>43761.618981481501</v>
      </c>
      <c r="O21" s="37">
        <f t="shared" si="2"/>
        <v>1.0000021196901798</v>
      </c>
      <c r="P21" s="10">
        <v>43761.618993055599</v>
      </c>
      <c r="Q21" s="37">
        <f t="shared" si="3"/>
        <v>2.0000042393803596</v>
      </c>
    </row>
    <row r="22" spans="2:17" ht="15.75">
      <c r="B22" s="9">
        <v>10</v>
      </c>
      <c r="C22" s="10">
        <v>43761.616388888899</v>
      </c>
      <c r="D22" s="10">
        <v>43761.616400462997</v>
      </c>
      <c r="E22" s="18">
        <f t="shared" si="0"/>
        <v>1.0000021196901798</v>
      </c>
      <c r="F22" s="19"/>
      <c r="G22" s="10">
        <v>43761.616412037001</v>
      </c>
      <c r="H22" s="10"/>
      <c r="I22" s="18">
        <f t="shared" si="1"/>
        <v>-3781003657.9999971</v>
      </c>
      <c r="J22" s="31"/>
      <c r="L22" s="30">
        <v>11</v>
      </c>
      <c r="M22" s="10">
        <v>43761.619108796302</v>
      </c>
      <c r="N22" s="10">
        <v>43761.6191203704</v>
      </c>
      <c r="O22" s="37">
        <f t="shared" si="2"/>
        <v>1.0000021196901798</v>
      </c>
      <c r="P22" s="10">
        <v>43761.619131944397</v>
      </c>
      <c r="Q22" s="37">
        <f t="shared" si="3"/>
        <v>1.9999954383820295</v>
      </c>
    </row>
    <row r="23" spans="2:17" ht="15.75">
      <c r="B23" s="9">
        <v>11</v>
      </c>
      <c r="C23" s="10">
        <v>43761.616435185198</v>
      </c>
      <c r="D23" s="10">
        <v>43761.616435185198</v>
      </c>
      <c r="E23" s="18">
        <f t="shared" si="0"/>
        <v>0</v>
      </c>
      <c r="F23" s="19"/>
      <c r="G23" s="10">
        <v>43761.616435185198</v>
      </c>
      <c r="H23" s="10"/>
      <c r="I23" s="18">
        <f t="shared" si="1"/>
        <v>-3781003660.000001</v>
      </c>
      <c r="J23" s="31"/>
      <c r="L23" s="30">
        <v>12</v>
      </c>
      <c r="M23" s="10">
        <v>43761.619236111103</v>
      </c>
      <c r="N23" s="10">
        <v>43761.6192592593</v>
      </c>
      <c r="O23" s="37">
        <f t="shared" si="2"/>
        <v>2.0000042393803596</v>
      </c>
      <c r="P23" s="10">
        <v>43761.619270833296</v>
      </c>
      <c r="Q23" s="37">
        <f t="shared" si="3"/>
        <v>2.9999975580722094</v>
      </c>
    </row>
    <row r="24" spans="2:17" ht="15.75">
      <c r="B24" s="9">
        <v>12</v>
      </c>
      <c r="C24" s="10">
        <v>43761.6164699074</v>
      </c>
      <c r="D24" s="10">
        <v>43761.616481481498</v>
      </c>
      <c r="E24" s="18">
        <f t="shared" si="0"/>
        <v>1.0000021196901798</v>
      </c>
      <c r="F24" s="19"/>
      <c r="G24" s="10">
        <v>43761.616481481498</v>
      </c>
      <c r="H24" s="10"/>
      <c r="I24" s="18">
        <f t="shared" si="1"/>
        <v>-3781003664.0000014</v>
      </c>
      <c r="J24" s="31"/>
      <c r="L24" s="30">
        <v>13</v>
      </c>
      <c r="M24" s="10">
        <v>43761.619363425903</v>
      </c>
      <c r="N24" s="10">
        <v>43761.619375000002</v>
      </c>
      <c r="O24" s="37">
        <f t="shared" si="2"/>
        <v>1.0000021196901798</v>
      </c>
      <c r="P24" s="10">
        <v>43761.619375000002</v>
      </c>
      <c r="Q24" s="37">
        <f t="shared" si="3"/>
        <v>1.0000021196901798</v>
      </c>
    </row>
    <row r="25" spans="2:17" ht="15.75">
      <c r="B25" s="9">
        <v>13</v>
      </c>
      <c r="C25" s="10">
        <v>43761.6165162037</v>
      </c>
      <c r="D25" s="10">
        <v>43761.616527777798</v>
      </c>
      <c r="E25" s="18">
        <f t="shared" si="0"/>
        <v>1.0000021196901798</v>
      </c>
      <c r="F25" s="19"/>
      <c r="G25" s="10">
        <v>43761.616527777798</v>
      </c>
      <c r="H25" s="10"/>
      <c r="I25" s="18">
        <f t="shared" si="1"/>
        <v>-3781003668.0000014</v>
      </c>
      <c r="J25" s="31"/>
      <c r="L25" s="30">
        <v>14</v>
      </c>
      <c r="M25" s="10">
        <v>43761.619502314803</v>
      </c>
      <c r="N25" s="10">
        <v>43761.619525463</v>
      </c>
      <c r="O25" s="37">
        <f t="shared" si="2"/>
        <v>2.0000042393803596</v>
      </c>
      <c r="P25" s="10">
        <v>43761.619525463</v>
      </c>
      <c r="Q25" s="37">
        <f t="shared" si="3"/>
        <v>2.0000042393803596</v>
      </c>
    </row>
    <row r="26" spans="2:17" ht="15.75">
      <c r="B26" s="9">
        <v>14</v>
      </c>
      <c r="C26" s="10">
        <v>43761.616562499999</v>
      </c>
      <c r="D26" s="10">
        <v>43761.616574074098</v>
      </c>
      <c r="E26" s="18">
        <f t="shared" si="0"/>
        <v>1.0000021196901798</v>
      </c>
      <c r="F26" s="19"/>
      <c r="G26" s="10">
        <v>43761.616574074098</v>
      </c>
      <c r="H26" s="10"/>
      <c r="I26" s="18">
        <f t="shared" si="1"/>
        <v>-3781003672.0000024</v>
      </c>
      <c r="J26" s="31"/>
      <c r="L26" s="30">
        <v>15</v>
      </c>
      <c r="M26" s="10">
        <v>43761.619641203702</v>
      </c>
      <c r="N26" s="10">
        <v>43761.619664351798</v>
      </c>
      <c r="O26" s="37">
        <f t="shared" si="2"/>
        <v>1.9999954383820295</v>
      </c>
      <c r="P26" s="10">
        <v>43761.619675925896</v>
      </c>
      <c r="Q26" s="37">
        <f t="shared" si="3"/>
        <v>2.9999975580722094</v>
      </c>
    </row>
    <row r="27" spans="2:17" ht="15.75">
      <c r="B27" s="9">
        <v>15</v>
      </c>
      <c r="C27" s="10">
        <v>43761.616631944402</v>
      </c>
      <c r="D27" s="10">
        <v>43761.6166435185</v>
      </c>
      <c r="E27" s="18">
        <f t="shared" si="0"/>
        <v>1.0000021196901798</v>
      </c>
      <c r="F27" s="19"/>
      <c r="G27" s="10">
        <v>43761.616655092599</v>
      </c>
      <c r="H27" s="10"/>
      <c r="I27" s="18">
        <f t="shared" si="1"/>
        <v>-3781003679.0000005</v>
      </c>
      <c r="J27" s="31"/>
      <c r="L27" s="30">
        <v>16</v>
      </c>
      <c r="M27" s="10">
        <v>43761.619780092602</v>
      </c>
      <c r="N27" s="10">
        <v>43761.619803240697</v>
      </c>
      <c r="O27" s="37">
        <f t="shared" si="2"/>
        <v>1.9999954383820295</v>
      </c>
      <c r="P27" s="10">
        <v>43761.619803240697</v>
      </c>
      <c r="Q27" s="37">
        <f t="shared" si="3"/>
        <v>1.9999954383820295</v>
      </c>
    </row>
    <row r="28" spans="2:17" ht="15.75">
      <c r="B28" s="9">
        <v>16</v>
      </c>
      <c r="C28" s="10">
        <v>43761.6166898148</v>
      </c>
      <c r="D28" s="10">
        <v>43761.616701388899</v>
      </c>
      <c r="E28" s="18">
        <f t="shared" si="0"/>
        <v>1.0000021196901798</v>
      </c>
      <c r="F28" s="19"/>
      <c r="G28" s="10">
        <v>43761.616701388899</v>
      </c>
      <c r="H28" s="10"/>
      <c r="I28" s="18">
        <f t="shared" si="1"/>
        <v>-3781003683.000001</v>
      </c>
      <c r="J28" s="31"/>
      <c r="L28" s="30">
        <v>17</v>
      </c>
      <c r="M28" s="10">
        <v>43761.619895833297</v>
      </c>
      <c r="N28" s="10">
        <v>43761.619918981502</v>
      </c>
      <c r="O28" s="37">
        <f t="shared" si="2"/>
        <v>2.0000048680230975</v>
      </c>
      <c r="P28" s="10">
        <v>43761.619918981502</v>
      </c>
      <c r="Q28" s="37">
        <f t="shared" si="3"/>
        <v>2.0000048680230975</v>
      </c>
    </row>
    <row r="29" spans="2:17" ht="15.75">
      <c r="B29" s="9">
        <v>17</v>
      </c>
      <c r="C29" s="10">
        <v>43761.616805555597</v>
      </c>
      <c r="D29" s="10">
        <v>43761.616817129601</v>
      </c>
      <c r="E29" s="18">
        <f t="shared" si="0"/>
        <v>0.99999394733458757</v>
      </c>
      <c r="F29" s="19"/>
      <c r="G29" s="10">
        <v>43761.6168287037</v>
      </c>
      <c r="H29" s="10"/>
      <c r="I29" s="18">
        <f t="shared" si="1"/>
        <v>-3781003693.9999995</v>
      </c>
      <c r="J29" s="31"/>
      <c r="L29" s="30">
        <v>18</v>
      </c>
      <c r="M29" s="10">
        <v>43761.620011574101</v>
      </c>
      <c r="N29" s="10">
        <v>43761.620023148098</v>
      </c>
      <c r="O29" s="37">
        <f t="shared" si="2"/>
        <v>0.99999331869184971</v>
      </c>
      <c r="P29" s="10">
        <v>43761.620034722197</v>
      </c>
      <c r="Q29" s="37">
        <f t="shared" si="3"/>
        <v>1.9999954383820295</v>
      </c>
    </row>
    <row r="30" spans="2:17" ht="15.75">
      <c r="B30" s="9">
        <v>18</v>
      </c>
      <c r="C30" s="10">
        <v>43761.616886574098</v>
      </c>
      <c r="D30" s="10">
        <v>43761.616886574098</v>
      </c>
      <c r="E30" s="18">
        <f t="shared" si="0"/>
        <v>0</v>
      </c>
      <c r="F30" s="19"/>
      <c r="G30" s="10">
        <v>43761.616898148102</v>
      </c>
      <c r="H30" s="10"/>
      <c r="I30" s="18">
        <f t="shared" si="1"/>
        <v>-3781003699.9999967</v>
      </c>
      <c r="J30" s="31"/>
      <c r="L30" s="30">
        <v>19</v>
      </c>
      <c r="M30" s="10">
        <v>43761.620150463001</v>
      </c>
      <c r="N30" s="10">
        <v>43761.620162036997</v>
      </c>
      <c r="O30" s="37">
        <f t="shared" si="2"/>
        <v>0.99999331869184971</v>
      </c>
      <c r="P30" s="10">
        <v>43761.620173611103</v>
      </c>
      <c r="Q30" s="37">
        <f t="shared" si="3"/>
        <v>1.9999960670247674</v>
      </c>
    </row>
    <row r="31" spans="2:17" ht="15.75">
      <c r="B31" s="9">
        <v>19</v>
      </c>
      <c r="C31" s="10">
        <v>43761.616944444402</v>
      </c>
      <c r="D31" s="10">
        <v>43761.616967592599</v>
      </c>
      <c r="E31" s="18">
        <f t="shared" si="0"/>
        <v>2.0000042393803596</v>
      </c>
      <c r="F31" s="19"/>
      <c r="G31" s="10">
        <v>43761.616979166698</v>
      </c>
      <c r="H31" s="10"/>
      <c r="I31" s="18">
        <f t="shared" si="1"/>
        <v>-3781003707.0000029</v>
      </c>
      <c r="J31" s="31"/>
      <c r="L31" s="30">
        <v>20</v>
      </c>
      <c r="M31" s="10">
        <v>43761.620277777802</v>
      </c>
      <c r="N31" s="10">
        <v>43761.620289351798</v>
      </c>
      <c r="O31" s="37">
        <f t="shared" si="2"/>
        <v>0.99999331869184971</v>
      </c>
      <c r="P31" s="10">
        <v>43761.620289351798</v>
      </c>
      <c r="Q31" s="37">
        <f t="shared" si="3"/>
        <v>0.99999331869184971</v>
      </c>
    </row>
    <row r="32" spans="2:17" ht="15.75">
      <c r="B32" s="9">
        <v>20</v>
      </c>
      <c r="C32" s="10">
        <v>43761.617083333302</v>
      </c>
      <c r="D32" s="10">
        <v>43761.617083333302</v>
      </c>
      <c r="E32" s="18">
        <f t="shared" si="0"/>
        <v>0</v>
      </c>
      <c r="F32" s="19"/>
      <c r="G32" s="10">
        <v>43761.6170949074</v>
      </c>
      <c r="H32" s="10"/>
      <c r="I32" s="18">
        <f t="shared" si="1"/>
        <v>-3781003716.9999995</v>
      </c>
      <c r="J32" s="31"/>
      <c r="L32" s="30" t="s">
        <v>60</v>
      </c>
      <c r="M32" s="31"/>
      <c r="N32" s="31"/>
      <c r="O32" s="39">
        <f>AVERAGE(O12:O31)</f>
        <v>1.5499995136633515</v>
      </c>
      <c r="P32" s="31"/>
      <c r="Q32" s="39">
        <f>AVERAGE(Q12:Q31)</f>
        <v>2.1499995281919837</v>
      </c>
    </row>
    <row r="33" spans="2:10">
      <c r="B33" s="11" t="s">
        <v>51</v>
      </c>
      <c r="C33" s="11"/>
      <c r="D33" s="12"/>
      <c r="E33" s="20">
        <f>AVERAGE(E13:E32)</f>
        <v>0.65000056056305766</v>
      </c>
      <c r="F33" s="20" t="e">
        <f>AVERAGE(F13:F32)</f>
        <v>#DIV/0!</v>
      </c>
      <c r="G33" s="11"/>
      <c r="H33" s="12"/>
      <c r="I33" s="33">
        <f>AVERAGE(I13:I32)</f>
        <v>-3781003663.0999999</v>
      </c>
      <c r="J33" s="33" t="e">
        <f>AVERAGE(J13:J32)</f>
        <v>#DIV/0!</v>
      </c>
    </row>
    <row r="36" spans="2:10" ht="15.75">
      <c r="B36" s="79" t="s">
        <v>61</v>
      </c>
      <c r="C36" s="79"/>
      <c r="D36" s="79"/>
      <c r="E36" s="79"/>
      <c r="F36" s="79"/>
      <c r="G36" s="79"/>
      <c r="H36" s="79"/>
      <c r="I36" s="79"/>
    </row>
    <row r="37" spans="2:10">
      <c r="B37" s="3" t="s">
        <v>20</v>
      </c>
      <c r="C37" s="13" t="s">
        <v>28</v>
      </c>
      <c r="D37" s="1" t="s">
        <v>62</v>
      </c>
      <c r="E37" s="80" t="s">
        <v>63</v>
      </c>
      <c r="F37" s="81"/>
      <c r="G37" s="21" t="s">
        <v>62</v>
      </c>
      <c r="H37" s="82" t="s">
        <v>64</v>
      </c>
      <c r="I37" s="83"/>
    </row>
    <row r="38" spans="2:10" ht="15.75">
      <c r="B38" s="3">
        <v>1</v>
      </c>
      <c r="C38" s="14">
        <v>43761.589201388902</v>
      </c>
      <c r="D38" s="5">
        <v>43761.589224536998</v>
      </c>
      <c r="E38" s="22"/>
      <c r="F38" s="5"/>
      <c r="G38" s="5">
        <v>43761.589224536998</v>
      </c>
      <c r="H38" s="23"/>
      <c r="I38" s="14"/>
    </row>
    <row r="39" spans="2:10" ht="15.75">
      <c r="B39" s="3">
        <v>2</v>
      </c>
      <c r="C39" s="14">
        <v>43761.589479166701</v>
      </c>
      <c r="D39" s="15">
        <v>43761.589513888903</v>
      </c>
      <c r="E39" s="24"/>
      <c r="F39" s="5"/>
      <c r="G39" s="15">
        <v>43761.589513888903</v>
      </c>
      <c r="H39" s="23"/>
      <c r="I39" s="14"/>
    </row>
    <row r="40" spans="2:10" ht="15.75">
      <c r="B40" s="3">
        <v>3</v>
      </c>
      <c r="C40" s="5">
        <v>43761.589699074102</v>
      </c>
      <c r="D40" s="5">
        <v>43761.589722222197</v>
      </c>
      <c r="E40" s="25"/>
      <c r="F40" s="26"/>
      <c r="G40" s="5">
        <v>43761.589722222197</v>
      </c>
      <c r="H40" s="25"/>
      <c r="I40" s="14"/>
    </row>
    <row r="41" spans="2:10" ht="15.75">
      <c r="B41" s="3">
        <v>4</v>
      </c>
      <c r="C41" s="5">
        <v>43761.589918981503</v>
      </c>
      <c r="D41" s="5">
        <v>43761.589953703697</v>
      </c>
      <c r="E41" s="5"/>
      <c r="F41" s="26"/>
      <c r="G41" s="5">
        <v>43761.589953703697</v>
      </c>
      <c r="H41" s="23"/>
      <c r="I41" s="14"/>
    </row>
    <row r="42" spans="2:10" ht="15.75">
      <c r="B42" s="3">
        <v>5</v>
      </c>
      <c r="C42" s="5">
        <v>43761.590138888903</v>
      </c>
      <c r="D42" s="5">
        <v>43761.590173611097</v>
      </c>
      <c r="E42" s="5"/>
      <c r="F42" s="26"/>
      <c r="G42" s="5">
        <v>43761.590173611097</v>
      </c>
      <c r="H42" s="23"/>
      <c r="I42" s="14"/>
    </row>
    <row r="43" spans="2:10" ht="15.75">
      <c r="B43" s="3">
        <v>6</v>
      </c>
      <c r="C43" s="5">
        <v>43761.590347222198</v>
      </c>
      <c r="D43" s="5">
        <v>43761.590381944399</v>
      </c>
      <c r="E43" s="5"/>
      <c r="F43" s="26"/>
      <c r="G43" s="5">
        <v>43761.590381944399</v>
      </c>
      <c r="H43" s="27"/>
      <c r="I43" s="14"/>
    </row>
    <row r="44" spans="2:10" ht="15.75">
      <c r="B44" s="3">
        <v>7</v>
      </c>
      <c r="C44" s="5">
        <v>43761.590567129599</v>
      </c>
      <c r="D44" s="5">
        <v>43761.590601851902</v>
      </c>
      <c r="E44" s="5"/>
      <c r="F44" s="26"/>
      <c r="G44" s="5">
        <v>43761.590601851902</v>
      </c>
      <c r="H44" s="23"/>
      <c r="I44" s="14"/>
    </row>
    <row r="45" spans="2:10" ht="15.75">
      <c r="B45" s="3">
        <v>8</v>
      </c>
      <c r="C45" s="5">
        <v>43761.590787036999</v>
      </c>
      <c r="D45" s="5">
        <v>43761.590821759302</v>
      </c>
      <c r="E45" s="5"/>
      <c r="F45" s="26"/>
      <c r="G45" s="5">
        <v>43761.590821759302</v>
      </c>
      <c r="H45" s="23"/>
      <c r="I45" s="14"/>
    </row>
    <row r="46" spans="2:10" ht="15.75">
      <c r="B46" s="3">
        <v>9</v>
      </c>
      <c r="C46" s="5">
        <v>43761.591018518498</v>
      </c>
      <c r="D46" s="5">
        <v>43761.5910532407</v>
      </c>
      <c r="E46" s="5"/>
      <c r="F46" s="26"/>
      <c r="G46" s="5">
        <v>43761.5910532407</v>
      </c>
      <c r="H46" s="23"/>
      <c r="I46" s="14"/>
    </row>
    <row r="47" spans="2:10" ht="15.75">
      <c r="B47" s="3">
        <v>10</v>
      </c>
      <c r="C47" s="5">
        <v>43761.591273148202</v>
      </c>
      <c r="D47" s="5">
        <v>43761.591307870403</v>
      </c>
      <c r="E47" s="5"/>
      <c r="F47" s="26"/>
      <c r="G47" s="5">
        <v>43761.591307870403</v>
      </c>
      <c r="H47" s="23"/>
      <c r="I47" s="14"/>
    </row>
    <row r="48" spans="2:10" ht="15.75">
      <c r="B48" s="3">
        <v>11</v>
      </c>
      <c r="C48" s="5">
        <v>43761.5915046296</v>
      </c>
      <c r="D48" s="5">
        <v>43761.591539351903</v>
      </c>
      <c r="E48" s="5"/>
      <c r="F48" s="26"/>
      <c r="G48" s="5">
        <v>43761.591539351903</v>
      </c>
      <c r="H48" s="23"/>
      <c r="I48" s="14"/>
    </row>
    <row r="49" spans="2:9" ht="15.75">
      <c r="B49" s="3">
        <v>12</v>
      </c>
      <c r="C49" s="5">
        <v>43761.591747685197</v>
      </c>
      <c r="D49" s="5">
        <v>43761.591793981497</v>
      </c>
      <c r="E49" s="5"/>
      <c r="F49" s="26"/>
      <c r="G49" s="5">
        <v>43761.591793981497</v>
      </c>
      <c r="H49" s="23"/>
      <c r="I49" s="14"/>
    </row>
    <row r="50" spans="2:9" ht="15.75">
      <c r="B50" s="3">
        <v>13</v>
      </c>
      <c r="C50" s="5">
        <v>43761.591990740701</v>
      </c>
      <c r="D50" s="5">
        <v>43761.592025462996</v>
      </c>
      <c r="E50" s="5"/>
      <c r="F50" s="26"/>
      <c r="G50" s="5">
        <v>43761.592025462996</v>
      </c>
      <c r="H50" s="28"/>
      <c r="I50" s="14"/>
    </row>
    <row r="51" spans="2:9" ht="15.75">
      <c r="B51" s="3">
        <v>14</v>
      </c>
      <c r="C51" s="5">
        <v>43761.592210648101</v>
      </c>
      <c r="D51" s="5">
        <v>43761.592256944401</v>
      </c>
      <c r="F51" s="26"/>
      <c r="G51" s="5">
        <v>43761.592303240701</v>
      </c>
      <c r="H51" s="28"/>
      <c r="I51" s="14"/>
    </row>
    <row r="52" spans="2:9" ht="15.75">
      <c r="B52" s="3">
        <v>15</v>
      </c>
      <c r="C52" s="5">
        <v>43761.592476851903</v>
      </c>
      <c r="D52" s="5">
        <v>43761.592511574097</v>
      </c>
      <c r="E52" s="5"/>
      <c r="F52" s="26"/>
      <c r="G52" s="5">
        <v>43761.592511574097</v>
      </c>
      <c r="H52" s="23"/>
      <c r="I52" s="14"/>
    </row>
    <row r="53" spans="2:9" ht="15.75">
      <c r="B53" s="3">
        <v>16</v>
      </c>
      <c r="C53" s="5">
        <v>43761.592696759297</v>
      </c>
      <c r="D53" s="5">
        <v>43761.592743055597</v>
      </c>
      <c r="E53" s="5"/>
      <c r="F53" s="26"/>
      <c r="G53" s="5">
        <v>43761.592743055597</v>
      </c>
      <c r="H53" s="23"/>
      <c r="I53" s="14"/>
    </row>
    <row r="54" spans="2:9" ht="15.75">
      <c r="B54" s="3">
        <v>17</v>
      </c>
      <c r="C54" s="5">
        <v>43761.5929398148</v>
      </c>
      <c r="D54" s="5">
        <v>43761.5929861111</v>
      </c>
      <c r="E54" s="5"/>
      <c r="F54" s="26"/>
      <c r="G54" s="5">
        <v>43761.5929861111</v>
      </c>
      <c r="H54" s="23"/>
      <c r="I54" s="14"/>
    </row>
    <row r="55" spans="2:9" ht="15.75">
      <c r="B55" s="3">
        <v>18</v>
      </c>
      <c r="C55" s="5">
        <v>43761.593182870398</v>
      </c>
      <c r="D55" s="5">
        <v>43761.593229166698</v>
      </c>
      <c r="E55" s="5"/>
      <c r="F55" s="26"/>
      <c r="G55" s="5">
        <v>43761.593229166698</v>
      </c>
      <c r="H55" s="23"/>
      <c r="I55" s="14"/>
    </row>
    <row r="56" spans="2:9" ht="15.75">
      <c r="B56" s="3">
        <v>19</v>
      </c>
      <c r="C56" s="14">
        <v>43761.593414351897</v>
      </c>
      <c r="D56" s="5">
        <v>43761.593449074098</v>
      </c>
      <c r="E56" s="5"/>
      <c r="F56" s="26"/>
      <c r="G56" s="5">
        <v>43761.593449074098</v>
      </c>
      <c r="H56" s="23"/>
      <c r="I56" s="14"/>
    </row>
    <row r="57" spans="2:9" ht="15.75">
      <c r="B57" s="3">
        <v>20</v>
      </c>
      <c r="C57" s="14">
        <v>43761.593634259298</v>
      </c>
      <c r="D57" s="5">
        <v>43761.593668981499</v>
      </c>
      <c r="F57" s="26"/>
      <c r="G57" s="5">
        <v>43761.593668981499</v>
      </c>
      <c r="H57" s="23"/>
      <c r="I57" s="14"/>
    </row>
    <row r="58" spans="2:9" ht="15.6" customHeight="1">
      <c r="B58" s="3">
        <v>21</v>
      </c>
      <c r="C58" s="15">
        <v>43761.593877314801</v>
      </c>
      <c r="D58" s="15">
        <v>43761.593912037002</v>
      </c>
      <c r="E58" s="29"/>
      <c r="F58" s="29"/>
      <c r="G58" s="15">
        <v>43761.593912037002</v>
      </c>
      <c r="H58" s="29"/>
      <c r="I58" s="29"/>
    </row>
    <row r="59" spans="2:9" ht="15.6" customHeight="1">
      <c r="B59" s="3">
        <v>22</v>
      </c>
      <c r="C59" s="15">
        <v>43761.594120370399</v>
      </c>
      <c r="D59" s="15">
        <v>43761.5941550926</v>
      </c>
      <c r="E59" s="29"/>
      <c r="F59" s="29"/>
      <c r="G59" s="15">
        <v>43761.5941550926</v>
      </c>
      <c r="H59" s="30"/>
      <c r="I59" s="29"/>
    </row>
    <row r="60" spans="2:9">
      <c r="B60" s="3">
        <v>23</v>
      </c>
      <c r="C60" s="5">
        <v>43761.594398148103</v>
      </c>
      <c r="D60" s="5">
        <v>43761.594432870399</v>
      </c>
      <c r="E60" s="31"/>
      <c r="F60" s="31"/>
      <c r="G60" s="5">
        <v>43761.594432870399</v>
      </c>
      <c r="H60" s="31"/>
      <c r="I60" s="31"/>
    </row>
    <row r="61" spans="2:9">
      <c r="B61" s="3">
        <v>24</v>
      </c>
      <c r="C61" s="5">
        <v>43761.595312500001</v>
      </c>
      <c r="D61" s="5">
        <v>43761.595347222203</v>
      </c>
      <c r="E61" s="31"/>
      <c r="F61" s="31"/>
      <c r="G61" s="5">
        <v>43761.595347222203</v>
      </c>
      <c r="H61" s="31"/>
      <c r="I61" s="31"/>
    </row>
    <row r="62" spans="2:9">
      <c r="B62" s="3">
        <v>25</v>
      </c>
      <c r="C62" s="5">
        <v>43761.5956365741</v>
      </c>
      <c r="D62" s="5">
        <v>43761.595671296302</v>
      </c>
      <c r="E62" s="13"/>
      <c r="F62" s="13"/>
      <c r="G62" s="5">
        <v>43761.595671296302</v>
      </c>
      <c r="H62" s="13"/>
      <c r="I62" s="13"/>
    </row>
    <row r="63" spans="2:9">
      <c r="B63" s="3">
        <v>26</v>
      </c>
      <c r="C63" s="5">
        <v>43761.595925925903</v>
      </c>
      <c r="D63" s="5">
        <v>43761.595960648097</v>
      </c>
      <c r="E63" s="13"/>
      <c r="F63" s="13"/>
      <c r="G63" s="5">
        <v>43761.595960648097</v>
      </c>
      <c r="H63" s="13"/>
      <c r="I63" s="13"/>
    </row>
    <row r="64" spans="2:9">
      <c r="B64" s="3">
        <v>27</v>
      </c>
      <c r="C64" s="5">
        <v>43761.596192129597</v>
      </c>
      <c r="D64" s="5">
        <v>43761.596215277801</v>
      </c>
      <c r="E64" s="5"/>
      <c r="F64" s="13"/>
      <c r="G64" s="5">
        <v>43761.596215277801</v>
      </c>
      <c r="H64" s="13"/>
      <c r="I64" s="13"/>
    </row>
    <row r="65" spans="2:9">
      <c r="B65" s="3">
        <v>28</v>
      </c>
      <c r="C65" s="5">
        <v>43761.596550925897</v>
      </c>
      <c r="D65" s="5">
        <v>43761.596585648098</v>
      </c>
      <c r="E65" s="13"/>
      <c r="F65" s="13"/>
      <c r="G65" s="5">
        <v>43761.596585648098</v>
      </c>
      <c r="H65" s="13"/>
      <c r="I65" s="13"/>
    </row>
    <row r="66" spans="2:9">
      <c r="B66" s="3">
        <v>29</v>
      </c>
      <c r="C66" s="5">
        <v>43761.596828703703</v>
      </c>
      <c r="D66" s="5">
        <v>43761.596863425897</v>
      </c>
      <c r="E66" s="13"/>
      <c r="F66" s="13"/>
      <c r="G66" s="5">
        <v>43761.596863425897</v>
      </c>
      <c r="H66" s="13"/>
      <c r="I66" s="13"/>
    </row>
    <row r="67" spans="2:9">
      <c r="B67" s="3">
        <v>30</v>
      </c>
      <c r="C67" s="5">
        <v>43761.597083333298</v>
      </c>
      <c r="D67" s="5">
        <v>43761.597129629597</v>
      </c>
      <c r="E67" s="13"/>
      <c r="F67" s="13"/>
      <c r="G67" s="5">
        <v>43761.597129629597</v>
      </c>
      <c r="H67" s="13"/>
      <c r="I67" s="13"/>
    </row>
    <row r="68" spans="2:9">
      <c r="B68" s="3">
        <v>31</v>
      </c>
      <c r="C68" s="5">
        <v>43761.597488425898</v>
      </c>
      <c r="D68" s="5">
        <v>43761.597534722197</v>
      </c>
      <c r="E68" s="13"/>
      <c r="F68" s="13"/>
      <c r="G68" s="5">
        <v>43761.597534722197</v>
      </c>
      <c r="H68" s="13"/>
      <c r="I68" s="13"/>
    </row>
    <row r="69" spans="2:9">
      <c r="B69" s="3">
        <v>32</v>
      </c>
      <c r="C69" s="5">
        <v>43761.597824074102</v>
      </c>
      <c r="D69" s="5">
        <v>43761.597858796304</v>
      </c>
      <c r="E69" s="13"/>
      <c r="F69" s="13"/>
      <c r="G69" s="5">
        <v>43761.597858796304</v>
      </c>
      <c r="H69" s="13"/>
      <c r="I69" s="13"/>
    </row>
    <row r="70" spans="2:9">
      <c r="B70" s="3">
        <v>33</v>
      </c>
      <c r="C70" s="5">
        <v>43761.598124999997</v>
      </c>
      <c r="D70" s="5">
        <v>43761.598159722198</v>
      </c>
      <c r="E70" s="13"/>
      <c r="F70" s="13"/>
      <c r="G70" s="5">
        <v>43761.598159722198</v>
      </c>
      <c r="H70" s="13"/>
      <c r="I70" s="13"/>
    </row>
    <row r="71" spans="2:9">
      <c r="B71" s="3">
        <v>34</v>
      </c>
      <c r="C71" s="5">
        <v>43761.598391203697</v>
      </c>
      <c r="D71" s="5">
        <v>43761.598425925898</v>
      </c>
      <c r="E71" s="13"/>
      <c r="F71" s="13"/>
      <c r="G71" s="5">
        <v>43761.598425925898</v>
      </c>
      <c r="H71" s="13"/>
      <c r="I71" s="13"/>
    </row>
    <row r="72" spans="2:9">
      <c r="B72" s="3">
        <v>35</v>
      </c>
      <c r="C72" s="5">
        <v>43761.598668981504</v>
      </c>
      <c r="D72" s="5">
        <v>43761.598703703698</v>
      </c>
      <c r="E72" s="13"/>
      <c r="F72" s="13"/>
      <c r="G72" s="5">
        <v>43761.598703703698</v>
      </c>
      <c r="H72" s="13"/>
      <c r="I72" s="13"/>
    </row>
    <row r="73" spans="2:9">
      <c r="B73" s="3">
        <v>36</v>
      </c>
      <c r="C73" s="5">
        <v>43761.598912037</v>
      </c>
      <c r="D73" s="5">
        <v>43761.598946759303</v>
      </c>
      <c r="E73" s="13"/>
      <c r="F73" s="13"/>
      <c r="G73" s="5">
        <v>43761.598946759303</v>
      </c>
      <c r="H73" s="13"/>
      <c r="I73" s="13"/>
    </row>
    <row r="74" spans="2:9">
      <c r="B74" s="3">
        <v>37</v>
      </c>
      <c r="C74" s="5">
        <v>43761.5991782407</v>
      </c>
      <c r="D74" s="5">
        <v>43761.599224537</v>
      </c>
      <c r="E74" s="13"/>
      <c r="F74" s="13"/>
      <c r="G74" s="5">
        <v>43761.599224537</v>
      </c>
      <c r="H74" s="13"/>
      <c r="I74" s="13"/>
    </row>
    <row r="75" spans="2:9">
      <c r="B75" s="3">
        <v>38</v>
      </c>
      <c r="C75" s="5">
        <v>43761.599467592598</v>
      </c>
      <c r="D75" s="5">
        <v>43761.599502314799</v>
      </c>
      <c r="E75" s="13"/>
      <c r="F75" s="13"/>
      <c r="G75" s="5">
        <v>43761.599502314799</v>
      </c>
      <c r="H75" s="13"/>
      <c r="I75" s="13"/>
    </row>
    <row r="76" spans="2:9">
      <c r="B76" s="3">
        <v>39</v>
      </c>
      <c r="C76" s="5">
        <v>43761.599722222199</v>
      </c>
      <c r="D76" s="4">
        <v>43761.599756944401</v>
      </c>
      <c r="E76" s="13"/>
      <c r="F76" s="13"/>
      <c r="G76" s="4">
        <v>43761.599756944401</v>
      </c>
      <c r="H76" s="13"/>
      <c r="I76" s="13"/>
    </row>
    <row r="77" spans="2:9">
      <c r="B77" s="3">
        <v>40</v>
      </c>
      <c r="C77" s="5">
        <v>43761.5999884259</v>
      </c>
      <c r="D77" s="5">
        <v>43761.600023148101</v>
      </c>
      <c r="E77" s="13"/>
      <c r="F77" s="13"/>
      <c r="G77" s="5">
        <v>43761.600023148101</v>
      </c>
      <c r="H77" s="13"/>
      <c r="I77" s="13"/>
    </row>
    <row r="78" spans="2:9">
      <c r="B78" s="3">
        <v>41</v>
      </c>
      <c r="C78" s="5">
        <v>43761.600740740701</v>
      </c>
      <c r="D78" s="4">
        <v>43761.600775462997</v>
      </c>
      <c r="E78" s="5"/>
      <c r="F78" s="13"/>
      <c r="G78" s="4">
        <v>43761.600775462997</v>
      </c>
      <c r="H78" s="13"/>
      <c r="I78" s="13"/>
    </row>
    <row r="79" spans="2:9">
      <c r="B79" s="3">
        <v>42</v>
      </c>
      <c r="C79" s="5">
        <v>43761.6010185185</v>
      </c>
      <c r="D79" s="5">
        <v>43761.601053240702</v>
      </c>
      <c r="E79" s="13"/>
      <c r="F79" s="13"/>
      <c r="G79" s="5">
        <v>43761.601053240702</v>
      </c>
      <c r="H79" s="13"/>
      <c r="I79" s="13"/>
    </row>
    <row r="80" spans="2:9">
      <c r="B80" s="3">
        <v>43</v>
      </c>
      <c r="C80" s="5">
        <v>43761.601284722201</v>
      </c>
      <c r="D80" s="5">
        <v>43761.601319444402</v>
      </c>
      <c r="E80" s="13"/>
      <c r="F80" s="13"/>
      <c r="G80" s="5">
        <v>43761.601319444402</v>
      </c>
      <c r="H80" s="13"/>
      <c r="I80" s="13"/>
    </row>
    <row r="81" spans="2:9">
      <c r="B81" s="3">
        <v>44</v>
      </c>
      <c r="C81" s="5">
        <v>43761.601539351897</v>
      </c>
      <c r="D81" s="5">
        <v>43761.601574074099</v>
      </c>
      <c r="E81" s="13"/>
      <c r="F81" s="13"/>
      <c r="G81" s="5">
        <v>43761.601585648103</v>
      </c>
      <c r="H81" s="13"/>
      <c r="I81" s="13"/>
    </row>
    <row r="82" spans="2:9">
      <c r="B82" s="3">
        <v>45</v>
      </c>
      <c r="C82" s="5">
        <v>43761.601805555598</v>
      </c>
      <c r="D82" s="5">
        <v>43761.601840277799</v>
      </c>
      <c r="E82" s="13"/>
      <c r="F82" s="13"/>
      <c r="G82" s="5">
        <v>43761.601840277799</v>
      </c>
      <c r="H82" s="13"/>
      <c r="I82" s="13"/>
    </row>
    <row r="83" spans="2:9">
      <c r="B83" s="3">
        <v>46</v>
      </c>
      <c r="C83" s="5">
        <v>43761.6020601852</v>
      </c>
      <c r="D83" s="5">
        <v>43761.602094907401</v>
      </c>
      <c r="E83" s="13"/>
      <c r="F83" s="5"/>
      <c r="G83" s="5">
        <v>43761.602094907401</v>
      </c>
      <c r="H83" s="13"/>
      <c r="I83" s="13"/>
    </row>
    <row r="84" spans="2:9">
      <c r="B84" s="3">
        <v>47</v>
      </c>
      <c r="C84" s="5">
        <v>43761.6023726852</v>
      </c>
      <c r="D84" s="5">
        <v>43761.602407407401</v>
      </c>
      <c r="E84" s="13"/>
      <c r="F84" s="13"/>
      <c r="G84" s="5">
        <v>43761.602407407401</v>
      </c>
      <c r="H84" s="13"/>
      <c r="I84" s="13"/>
    </row>
    <row r="85" spans="2:9">
      <c r="B85" s="3">
        <v>48</v>
      </c>
      <c r="C85" s="5">
        <v>43761.602662037003</v>
      </c>
      <c r="D85" s="5">
        <v>43761.6026851852</v>
      </c>
      <c r="E85" s="13"/>
      <c r="F85" s="13"/>
      <c r="G85" s="5">
        <v>43761.6026851852</v>
      </c>
      <c r="H85" s="13"/>
      <c r="I85" s="13"/>
    </row>
    <row r="86" spans="2:9">
      <c r="B86" s="3">
        <v>49</v>
      </c>
      <c r="C86" s="5">
        <v>43761.602951388901</v>
      </c>
      <c r="D86" s="5">
        <v>43761.602997685201</v>
      </c>
      <c r="E86" s="13"/>
      <c r="F86" s="13"/>
      <c r="G86" s="5">
        <v>43761.602997685201</v>
      </c>
      <c r="H86" s="13"/>
      <c r="I86" s="13"/>
    </row>
    <row r="87" spans="2:9">
      <c r="B87" s="3">
        <v>50</v>
      </c>
      <c r="C87" s="5">
        <v>43761.603240740696</v>
      </c>
      <c r="D87" s="5">
        <v>43761.603275463</v>
      </c>
      <c r="E87" s="13"/>
      <c r="F87" s="13"/>
      <c r="G87" s="5">
        <v>43761.603275463</v>
      </c>
      <c r="H87" s="13"/>
      <c r="I87" s="13"/>
    </row>
  </sheetData>
  <sheetProtection formatCells="0" insertHyperlinks="0" autoFilter="0"/>
  <mergeCells count="11">
    <mergeCell ref="B2:G2"/>
    <mergeCell ref="I2:N2"/>
    <mergeCell ref="B10:J10"/>
    <mergeCell ref="L10:Q10"/>
    <mergeCell ref="C11:F11"/>
    <mergeCell ref="G11:J11"/>
    <mergeCell ref="E12:F12"/>
    <mergeCell ref="I12:J12"/>
    <mergeCell ref="B36:I36"/>
    <mergeCell ref="E37:F37"/>
    <mergeCell ref="H37:I37"/>
  </mergeCells>
  <phoneticPr fontId="40" type="noConversion"/>
  <conditionalFormatting sqref="F4">
    <cfRule type="cellIs" dxfId="84" priority="27" operator="equal">
      <formula>"失败"</formula>
    </cfRule>
    <cfRule type="cellIs" dxfId="83" priority="28" operator="equal">
      <formula>"未通"</formula>
    </cfRule>
  </conditionalFormatting>
  <conditionalFormatting sqref="F6">
    <cfRule type="cellIs" dxfId="82" priority="19" operator="equal">
      <formula>"未通"</formula>
    </cfRule>
    <cfRule type="cellIs" dxfId="81" priority="20" operator="equal">
      <formula>"失败"</formula>
    </cfRule>
  </conditionalFormatting>
  <conditionalFormatting sqref="D48">
    <cfRule type="cellIs" dxfId="80" priority="23" operator="equal">
      <formula>"未通"</formula>
    </cfRule>
  </conditionalFormatting>
  <conditionalFormatting sqref="G48">
    <cfRule type="cellIs" dxfId="79" priority="6" operator="equal">
      <formula>"未通"</formula>
    </cfRule>
  </conditionalFormatting>
  <conditionalFormatting sqref="D50">
    <cfRule type="cellIs" dxfId="78" priority="18" operator="equal">
      <formula>"未通"</formula>
    </cfRule>
  </conditionalFormatting>
  <conditionalFormatting sqref="G50">
    <cfRule type="cellIs" dxfId="77" priority="5" operator="equal">
      <formula>"未通"</formula>
    </cfRule>
  </conditionalFormatting>
  <conditionalFormatting sqref="D52">
    <cfRule type="cellIs" dxfId="76" priority="22" operator="equal">
      <formula>"未通"</formula>
    </cfRule>
  </conditionalFormatting>
  <conditionalFormatting sqref="G52">
    <cfRule type="cellIs" dxfId="75" priority="2" operator="equal">
      <formula>"未通"</formula>
    </cfRule>
  </conditionalFormatting>
  <conditionalFormatting sqref="D54">
    <cfRule type="cellIs" dxfId="74" priority="21" operator="equal">
      <formula>"未通"</formula>
    </cfRule>
  </conditionalFormatting>
  <conditionalFormatting sqref="G54">
    <cfRule type="cellIs" dxfId="73" priority="1" operator="equal">
      <formula>"未通"</formula>
    </cfRule>
  </conditionalFormatting>
  <conditionalFormatting sqref="G57">
    <cfRule type="cellIs" dxfId="72" priority="4" operator="equal">
      <formula>"未通"</formula>
    </cfRule>
  </conditionalFormatting>
  <conditionalFormatting sqref="D4:D8">
    <cfRule type="cellIs" dxfId="71" priority="33" operator="equal">
      <formula>"未通"</formula>
    </cfRule>
    <cfRule type="cellIs" dxfId="70" priority="34" operator="equal">
      <formula>"失败"</formula>
    </cfRule>
  </conditionalFormatting>
  <conditionalFormatting sqref="D38:D39">
    <cfRule type="cellIs" dxfId="69" priority="24" operator="equal">
      <formula>"未通"</formula>
    </cfRule>
  </conditionalFormatting>
  <conditionalFormatting sqref="G38:G39">
    <cfRule type="cellIs" dxfId="68" priority="7" operator="equal">
      <formula>"未通"</formula>
    </cfRule>
    <cfRule type="cellIs" dxfId="67" priority="8" operator="equal">
      <formula>"未通"</formula>
    </cfRule>
  </conditionalFormatting>
  <conditionalFormatting sqref="L4:L8">
    <cfRule type="cellIs" dxfId="66" priority="31" operator="equal">
      <formula>"失败"</formula>
    </cfRule>
    <cfRule type="cellIs" dxfId="65" priority="32" operator="equal">
      <formula>"未通"</formula>
    </cfRule>
  </conditionalFormatting>
  <conditionalFormatting sqref="N4:N8">
    <cfRule type="cellIs" dxfId="64" priority="29" operator="equal">
      <formula>"失败"</formula>
    </cfRule>
    <cfRule type="cellIs" dxfId="63" priority="30" operator="equal">
      <formula>"未通"</formula>
    </cfRule>
  </conditionalFormatting>
  <conditionalFormatting sqref="E4:E8 F57 D57 C51:D51 F51:G51 F7 G4:G8">
    <cfRule type="cellIs" dxfId="62" priority="36" operator="equal">
      <formula>"未通"</formula>
    </cfRule>
  </conditionalFormatting>
  <conditionalFormatting sqref="E4:E8 F7 G4:G8">
    <cfRule type="cellIs" dxfId="61" priority="35" operator="equal">
      <formula>"失败"</formula>
    </cfRule>
  </conditionalFormatting>
  <conditionalFormatting sqref="B38:B39 B43 H38:I57 C38:F47 C49:F49 C48 E48:F48 C50 E50:F50 B53:F53 C52 E52:F52 C54 E54:F54 B58:B87 B55:F56 B57:C57">
    <cfRule type="cellIs" dxfId="60" priority="26" operator="equal">
      <formula>"未通"</formula>
    </cfRule>
  </conditionalFormatting>
  <conditionalFormatting sqref="C38:F39">
    <cfRule type="cellIs" dxfId="59" priority="25" operator="equal">
      <formula>"未通"</formula>
    </cfRule>
  </conditionalFormatting>
  <conditionalFormatting sqref="G38:G47 G49">
    <cfRule type="cellIs" dxfId="58" priority="9" operator="equal">
      <formula>"未通"</formula>
    </cfRule>
  </conditionalFormatting>
  <conditionalFormatting sqref="G53 G55:G56">
    <cfRule type="cellIs" dxfId="57" priority="3" operator="equal">
      <formula>"未通"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5"/>
  <dimension ref="B2:R87"/>
  <sheetViews>
    <sheetView workbookViewId="0">
      <selection activeCell="R14" sqref="R14:W14"/>
    </sheetView>
  </sheetViews>
  <sheetFormatPr defaultColWidth="9" defaultRowHeight="13.5"/>
  <cols>
    <col min="3" max="3" width="12.46484375" customWidth="1"/>
    <col min="4" max="4" width="10.86328125" customWidth="1"/>
    <col min="5" max="6" width="10.46484375" customWidth="1"/>
    <col min="7" max="11" width="9.46484375" customWidth="1"/>
    <col min="13" max="17" width="9.46484375" customWidth="1"/>
  </cols>
  <sheetData>
    <row r="2" spans="2:18">
      <c r="B2" s="73" t="s">
        <v>65</v>
      </c>
      <c r="C2" s="73"/>
      <c r="D2" s="73"/>
      <c r="E2" s="73"/>
      <c r="F2" s="73"/>
      <c r="G2" s="73"/>
      <c r="I2" s="73" t="s">
        <v>66</v>
      </c>
      <c r="J2" s="73"/>
      <c r="K2" s="73"/>
      <c r="L2" s="73"/>
      <c r="M2" s="73"/>
      <c r="N2" s="73"/>
    </row>
    <row r="3" spans="2:18">
      <c r="B3" s="1" t="s">
        <v>38</v>
      </c>
      <c r="C3" s="1" t="s">
        <v>39</v>
      </c>
      <c r="D3" s="2" t="s">
        <v>40</v>
      </c>
      <c r="E3" s="2" t="s">
        <v>41</v>
      </c>
      <c r="F3" s="17" t="s">
        <v>42</v>
      </c>
      <c r="G3" s="17" t="s">
        <v>41</v>
      </c>
      <c r="I3" s="1" t="s">
        <v>38</v>
      </c>
      <c r="J3" s="1" t="s">
        <v>39</v>
      </c>
      <c r="K3" s="21" t="s">
        <v>40</v>
      </c>
      <c r="L3" s="2" t="s">
        <v>41</v>
      </c>
      <c r="M3" s="1" t="s">
        <v>42</v>
      </c>
      <c r="N3" s="17" t="s">
        <v>41</v>
      </c>
    </row>
    <row r="4" spans="2:18">
      <c r="B4" s="3">
        <v>1</v>
      </c>
      <c r="C4" s="4">
        <v>43762.561562499999</v>
      </c>
      <c r="D4" s="5">
        <v>43762.5615972222</v>
      </c>
      <c r="E4" s="14" t="s">
        <v>43</v>
      </c>
      <c r="F4" s="14">
        <v>43762.561585648102</v>
      </c>
      <c r="G4" s="14" t="s">
        <v>43</v>
      </c>
      <c r="I4" s="3">
        <v>1</v>
      </c>
      <c r="J4" s="5">
        <v>43762.562129629601</v>
      </c>
      <c r="K4" s="5">
        <v>43762.562268518501</v>
      </c>
      <c r="L4" s="14" t="s">
        <v>43</v>
      </c>
      <c r="M4" s="5">
        <v>43762.562199074098</v>
      </c>
      <c r="N4" s="14" t="s">
        <v>43</v>
      </c>
    </row>
    <row r="5" spans="2:18">
      <c r="B5" s="3">
        <v>2</v>
      </c>
      <c r="C5" s="6">
        <v>43762.561631944402</v>
      </c>
      <c r="D5" s="5">
        <v>43762.561666666697</v>
      </c>
      <c r="E5" s="14" t="s">
        <v>43</v>
      </c>
      <c r="F5" s="6">
        <v>43762.561678240701</v>
      </c>
      <c r="G5" s="14" t="s">
        <v>43</v>
      </c>
      <c r="I5" s="3">
        <v>2</v>
      </c>
      <c r="J5" s="5">
        <v>43762.562291666698</v>
      </c>
      <c r="K5" s="5">
        <v>43762.5624074074</v>
      </c>
      <c r="L5" s="14" t="s">
        <v>43</v>
      </c>
      <c r="M5" s="5">
        <v>43762.562337962998</v>
      </c>
      <c r="N5" s="14" t="s">
        <v>43</v>
      </c>
    </row>
    <row r="6" spans="2:18">
      <c r="B6" s="3">
        <v>3</v>
      </c>
      <c r="C6" s="6">
        <v>43762.5616898148</v>
      </c>
      <c r="D6" s="5">
        <v>43762.561724537001</v>
      </c>
      <c r="E6" s="14" t="s">
        <v>43</v>
      </c>
      <c r="F6" s="5">
        <v>43762.561724537001</v>
      </c>
      <c r="G6" s="14" t="s">
        <v>43</v>
      </c>
      <c r="I6" s="3">
        <v>3</v>
      </c>
      <c r="J6" s="5">
        <v>43762.562430555598</v>
      </c>
      <c r="K6" s="5">
        <v>43762.562534722201</v>
      </c>
      <c r="L6" s="14" t="s">
        <v>43</v>
      </c>
      <c r="M6" s="5">
        <v>43762.562476851897</v>
      </c>
      <c r="N6" s="14" t="s">
        <v>43</v>
      </c>
    </row>
    <row r="7" spans="2:18">
      <c r="B7" s="3">
        <v>4</v>
      </c>
      <c r="C7" s="6">
        <v>43762.561747685198</v>
      </c>
      <c r="D7" s="5">
        <v>43762.561770833301</v>
      </c>
      <c r="E7" s="14" t="s">
        <v>43</v>
      </c>
      <c r="F7" s="14">
        <v>43762.561770833301</v>
      </c>
      <c r="G7" s="14" t="s">
        <v>43</v>
      </c>
      <c r="I7" s="3">
        <v>4</v>
      </c>
      <c r="J7" s="5">
        <v>43762.562557870398</v>
      </c>
      <c r="K7" s="5">
        <v>43762.562673611101</v>
      </c>
      <c r="L7" s="14" t="s">
        <v>43</v>
      </c>
      <c r="M7" s="5">
        <v>43762.562615740702</v>
      </c>
      <c r="N7" s="14" t="s">
        <v>43</v>
      </c>
    </row>
    <row r="8" spans="2:18">
      <c r="B8" s="3">
        <v>5</v>
      </c>
      <c r="C8" s="6">
        <v>43762.561793981498</v>
      </c>
      <c r="D8" s="5">
        <v>43762.561840277798</v>
      </c>
      <c r="E8" s="14" t="s">
        <v>43</v>
      </c>
      <c r="F8" s="6">
        <v>43762.5618287037</v>
      </c>
      <c r="G8" s="14" t="s">
        <v>43</v>
      </c>
      <c r="I8" s="3">
        <v>5</v>
      </c>
      <c r="J8" s="5">
        <v>43762.562696759298</v>
      </c>
      <c r="K8" s="5">
        <v>43762.562777777799</v>
      </c>
      <c r="L8" s="14" t="s">
        <v>43</v>
      </c>
      <c r="M8" s="5">
        <v>43762.562719907401</v>
      </c>
      <c r="N8" s="14" t="s">
        <v>43</v>
      </c>
    </row>
    <row r="10" spans="2:18" ht="15.75">
      <c r="B10" s="84" t="s">
        <v>67</v>
      </c>
      <c r="C10" s="84"/>
      <c r="D10" s="84"/>
      <c r="E10" s="84"/>
      <c r="F10" s="84"/>
      <c r="G10" s="84"/>
      <c r="H10" s="84"/>
      <c r="I10" s="84"/>
      <c r="J10" s="84"/>
      <c r="L10" s="85" t="s">
        <v>68</v>
      </c>
      <c r="M10" s="86"/>
      <c r="N10" s="86"/>
      <c r="O10" s="86"/>
      <c r="P10" s="86"/>
      <c r="Q10" s="87"/>
    </row>
    <row r="11" spans="2:18" ht="15.75">
      <c r="B11" s="7" t="s">
        <v>45</v>
      </c>
      <c r="C11" s="75" t="s">
        <v>14</v>
      </c>
      <c r="D11" s="75"/>
      <c r="E11" s="75"/>
      <c r="F11" s="75"/>
      <c r="G11" s="76" t="s">
        <v>46</v>
      </c>
      <c r="H11" s="77"/>
      <c r="I11" s="77"/>
      <c r="J11" s="78"/>
      <c r="L11" s="7" t="s">
        <v>38</v>
      </c>
      <c r="M11" s="24" t="s">
        <v>56</v>
      </c>
      <c r="N11" s="34" t="s">
        <v>57</v>
      </c>
      <c r="O11" s="35" t="s">
        <v>58</v>
      </c>
      <c r="P11" s="36" t="s">
        <v>59</v>
      </c>
      <c r="Q11" s="40" t="s">
        <v>58</v>
      </c>
    </row>
    <row r="12" spans="2:18">
      <c r="B12" s="8" t="s">
        <v>47</v>
      </c>
      <c r="C12" s="8" t="s">
        <v>48</v>
      </c>
      <c r="D12" s="8" t="s">
        <v>49</v>
      </c>
      <c r="E12" s="72" t="s">
        <v>50</v>
      </c>
      <c r="F12" s="72"/>
      <c r="G12" s="8" t="s">
        <v>48</v>
      </c>
      <c r="H12" s="8" t="s">
        <v>49</v>
      </c>
      <c r="I12" s="72" t="s">
        <v>50</v>
      </c>
      <c r="J12" s="72"/>
      <c r="L12" s="30">
        <v>1</v>
      </c>
      <c r="M12" s="5">
        <v>43762.565358796302</v>
      </c>
      <c r="N12" s="10">
        <v>43762.565381944398</v>
      </c>
      <c r="O12" s="37">
        <f>(N12-M12)*24*60*60</f>
        <v>1.9999954383820295</v>
      </c>
      <c r="P12" s="10">
        <v>43762.565381944398</v>
      </c>
      <c r="Q12" s="37">
        <f>(P12-M12)*24*60*60</f>
        <v>1.9999954383820295</v>
      </c>
    </row>
    <row r="13" spans="2:18" ht="15.75">
      <c r="B13" s="9">
        <v>1</v>
      </c>
      <c r="C13" s="10">
        <v>43762.563379629602</v>
      </c>
      <c r="D13" s="10">
        <v>43762.563391203701</v>
      </c>
      <c r="E13" s="18">
        <f t="shared" ref="E13:E32" si="0">(D13-C13)*24*60*60</f>
        <v>1.0000021196901798</v>
      </c>
      <c r="F13" s="19"/>
      <c r="G13" s="10">
        <v>43762.563379629602</v>
      </c>
      <c r="H13" s="10">
        <v>43762.563391203701</v>
      </c>
      <c r="I13" s="18">
        <f t="shared" ref="I13:I32" si="1">(H13-G13)*24*60*60</f>
        <v>1.0000021196901798</v>
      </c>
      <c r="J13" s="31"/>
      <c r="L13" s="30">
        <v>2</v>
      </c>
      <c r="M13" s="5">
        <v>43762.565613425897</v>
      </c>
      <c r="N13" s="10">
        <v>43762.565625000003</v>
      </c>
      <c r="O13" s="37">
        <f t="shared" ref="O13:O14" si="2">(N13-M13)*24*60*60</f>
        <v>1.0000027483329177</v>
      </c>
      <c r="P13" s="10">
        <v>43762.565636574102</v>
      </c>
      <c r="Q13" s="37">
        <f t="shared" ref="Q13:Q31" si="3">(P13-M13)*24*60*60</f>
        <v>2.0000048680230975</v>
      </c>
    </row>
    <row r="14" spans="2:18">
      <c r="B14" s="9">
        <v>2</v>
      </c>
      <c r="C14" s="10">
        <v>43762.563414351898</v>
      </c>
      <c r="D14" s="10">
        <v>43762.563425925902</v>
      </c>
      <c r="E14" s="18">
        <f t="shared" si="0"/>
        <v>0.99999394733458757</v>
      </c>
      <c r="F14" s="16"/>
      <c r="G14" s="10">
        <v>43762.563414351898</v>
      </c>
      <c r="H14" s="10">
        <v>43762.563425925902</v>
      </c>
      <c r="I14" s="18">
        <f t="shared" si="1"/>
        <v>0.99999394733458757</v>
      </c>
      <c r="J14" s="31"/>
      <c r="L14" s="30">
        <v>3</v>
      </c>
      <c r="M14" s="5">
        <v>43762.565763888902</v>
      </c>
      <c r="N14" s="10">
        <v>43762.565787036998</v>
      </c>
      <c r="O14" s="37">
        <f t="shared" si="2"/>
        <v>1.9999954383820295</v>
      </c>
      <c r="P14" s="43">
        <v>43762.566053240698</v>
      </c>
      <c r="Q14" s="37">
        <f t="shared" si="3"/>
        <v>24.999995157122612</v>
      </c>
      <c r="R14" t="s">
        <v>69</v>
      </c>
    </row>
    <row r="15" spans="2:18" ht="15.75">
      <c r="B15" s="9">
        <v>3</v>
      </c>
      <c r="C15" s="10">
        <v>43762.563449074099</v>
      </c>
      <c r="D15" s="10">
        <v>43762.563460648104</v>
      </c>
      <c r="E15" s="18">
        <f t="shared" si="0"/>
        <v>0.99999394733458757</v>
      </c>
      <c r="F15" s="19"/>
      <c r="G15" s="10">
        <v>43762.563449074099</v>
      </c>
      <c r="H15" s="10">
        <v>43762.563460648104</v>
      </c>
      <c r="I15" s="18">
        <f t="shared" si="1"/>
        <v>0.99999394733458757</v>
      </c>
      <c r="J15" s="31"/>
      <c r="L15" s="30">
        <v>4</v>
      </c>
      <c r="M15" s="5">
        <v>43762.567291666703</v>
      </c>
      <c r="N15" s="5">
        <v>43762.567314814798</v>
      </c>
      <c r="O15" s="37">
        <f t="shared" ref="O15:O31" si="4">(N15-M15)*24*60*60</f>
        <v>1.9999954383820295</v>
      </c>
      <c r="P15" s="5">
        <v>43762.567314814798</v>
      </c>
      <c r="Q15" s="37">
        <f t="shared" si="3"/>
        <v>1.9999954383820295</v>
      </c>
    </row>
    <row r="16" spans="2:18" ht="15.75">
      <c r="B16" s="9">
        <v>4</v>
      </c>
      <c r="C16" s="10">
        <v>43762.563495370399</v>
      </c>
      <c r="D16" s="10">
        <v>43762.563506944403</v>
      </c>
      <c r="E16" s="18">
        <f t="shared" si="0"/>
        <v>0.99999394733458757</v>
      </c>
      <c r="F16" s="19"/>
      <c r="G16" s="10">
        <v>43762.563495370399</v>
      </c>
      <c r="H16" s="10">
        <v>43762.563506944403</v>
      </c>
      <c r="I16" s="18">
        <f t="shared" si="1"/>
        <v>0.99999394733458757</v>
      </c>
      <c r="J16" s="31"/>
      <c r="L16" s="30">
        <v>5</v>
      </c>
      <c r="M16" s="5">
        <v>43762.567499999997</v>
      </c>
      <c r="N16" s="10">
        <v>43762.567523148202</v>
      </c>
      <c r="O16" s="37">
        <f t="shared" si="4"/>
        <v>2.0000048680230975</v>
      </c>
      <c r="P16" s="10">
        <v>43762.567534722199</v>
      </c>
      <c r="Q16" s="37">
        <f t="shared" si="3"/>
        <v>2.9999981867149472</v>
      </c>
    </row>
    <row r="17" spans="2:18" ht="15.75">
      <c r="B17" s="9">
        <v>5</v>
      </c>
      <c r="C17" s="10">
        <v>43762.563530092601</v>
      </c>
      <c r="D17" s="10">
        <v>43762.563541666699</v>
      </c>
      <c r="E17" s="18">
        <f t="shared" si="0"/>
        <v>1.0000021196901798</v>
      </c>
      <c r="F17" s="19"/>
      <c r="G17" s="10">
        <v>43762.563530092601</v>
      </c>
      <c r="H17" s="10">
        <v>43762.563541666699</v>
      </c>
      <c r="I17" s="18">
        <f t="shared" si="1"/>
        <v>1.0000021196901798</v>
      </c>
      <c r="J17" s="31"/>
      <c r="L17" s="32">
        <v>6</v>
      </c>
      <c r="M17" s="5">
        <v>43762.567662037</v>
      </c>
      <c r="N17" s="10">
        <v>43762.567685185197</v>
      </c>
      <c r="O17" s="37">
        <f t="shared" si="4"/>
        <v>2.0000042393803596</v>
      </c>
      <c r="P17" s="10">
        <v>43762.567696759303</v>
      </c>
      <c r="Q17" s="37">
        <f t="shared" si="3"/>
        <v>3.0000069877132773</v>
      </c>
    </row>
    <row r="18" spans="2:18" ht="15.75">
      <c r="B18" s="9">
        <v>6</v>
      </c>
      <c r="C18" s="10">
        <v>43762.563564814802</v>
      </c>
      <c r="D18" s="10">
        <v>43762.5635763889</v>
      </c>
      <c r="E18" s="18">
        <f t="shared" si="0"/>
        <v>1.0000021196901798</v>
      </c>
      <c r="F18" s="19"/>
      <c r="G18" s="10">
        <v>43762.563564814802</v>
      </c>
      <c r="H18" s="10">
        <v>43762.5635763889</v>
      </c>
      <c r="I18" s="18">
        <f t="shared" si="1"/>
        <v>1.0000021196901798</v>
      </c>
      <c r="J18" s="31"/>
      <c r="L18" s="30">
        <v>7</v>
      </c>
      <c r="M18" s="5">
        <v>43762.567812499998</v>
      </c>
      <c r="N18" s="10">
        <v>43762.567824074104</v>
      </c>
      <c r="O18" s="37">
        <f t="shared" si="4"/>
        <v>1.0000027483329177</v>
      </c>
      <c r="P18" s="10">
        <v>43762.567835648202</v>
      </c>
      <c r="Q18" s="37">
        <f t="shared" si="3"/>
        <v>2.0000048680230975</v>
      </c>
    </row>
    <row r="19" spans="2:18" ht="15.75">
      <c r="B19" s="9">
        <v>7</v>
      </c>
      <c r="C19" s="10">
        <v>43762.563599537003</v>
      </c>
      <c r="D19" s="10">
        <v>43762.563611111102</v>
      </c>
      <c r="E19" s="18">
        <f t="shared" si="0"/>
        <v>1.0000021196901798</v>
      </c>
      <c r="F19" s="19"/>
      <c r="G19" s="10">
        <v>43762.563599537003</v>
      </c>
      <c r="H19" s="10">
        <v>43762.5636226852</v>
      </c>
      <c r="I19" s="18">
        <f t="shared" si="1"/>
        <v>2.0000042393803596</v>
      </c>
      <c r="J19" s="31"/>
      <c r="L19" s="30">
        <v>8</v>
      </c>
      <c r="M19" s="5">
        <v>43762.567951388897</v>
      </c>
      <c r="N19" s="10">
        <v>43762.567962963003</v>
      </c>
      <c r="O19" s="37">
        <f t="shared" si="4"/>
        <v>1.0000027483329177</v>
      </c>
      <c r="P19" s="10">
        <v>43762.567974537</v>
      </c>
      <c r="Q19" s="37">
        <f t="shared" si="3"/>
        <v>1.9999960670247674</v>
      </c>
    </row>
    <row r="20" spans="2:18" ht="15.75">
      <c r="B20" s="9">
        <v>8</v>
      </c>
      <c r="C20" s="10">
        <v>43762.563634259299</v>
      </c>
      <c r="D20" s="10">
        <v>43762.563645833303</v>
      </c>
      <c r="E20" s="18">
        <f t="shared" si="0"/>
        <v>0.99999394733458757</v>
      </c>
      <c r="F20" s="19"/>
      <c r="G20" s="10">
        <v>43762.563634259299</v>
      </c>
      <c r="H20" s="10">
        <v>43762.563657407401</v>
      </c>
      <c r="I20" s="18">
        <f t="shared" si="1"/>
        <v>1.9999960670247674</v>
      </c>
      <c r="J20" s="31"/>
      <c r="L20" s="30">
        <v>9</v>
      </c>
      <c r="M20" s="5">
        <v>43762.568090277797</v>
      </c>
      <c r="N20" s="10">
        <v>43762.568113425899</v>
      </c>
      <c r="O20" s="37">
        <f t="shared" si="4"/>
        <v>1.9999960670247674</v>
      </c>
      <c r="P20" s="10">
        <v>43762.568124999998</v>
      </c>
      <c r="Q20" s="37">
        <f t="shared" si="3"/>
        <v>2.9999981867149472</v>
      </c>
    </row>
    <row r="21" spans="2:18" ht="15.75">
      <c r="B21" s="9">
        <v>9</v>
      </c>
      <c r="C21" s="10">
        <v>43762.5636689815</v>
      </c>
      <c r="D21" s="10">
        <v>43762.563680555599</v>
      </c>
      <c r="E21" s="18">
        <f t="shared" si="0"/>
        <v>1.0000021196901798</v>
      </c>
      <c r="F21" s="19"/>
      <c r="G21" s="10">
        <v>43762.5636689815</v>
      </c>
      <c r="H21" s="10">
        <v>43762.563680555599</v>
      </c>
      <c r="I21" s="18">
        <f t="shared" si="1"/>
        <v>1.0000021196901798</v>
      </c>
      <c r="J21" s="31"/>
      <c r="L21" s="30">
        <v>10</v>
      </c>
      <c r="M21" s="5">
        <v>43762.568229166704</v>
      </c>
      <c r="N21" s="10">
        <v>43762.5682407407</v>
      </c>
      <c r="O21" s="37">
        <f t="shared" si="4"/>
        <v>0.99999331869184971</v>
      </c>
      <c r="P21" s="10">
        <v>43762.568252314799</v>
      </c>
      <c r="Q21" s="37">
        <f t="shared" si="3"/>
        <v>1.9999954383820295</v>
      </c>
    </row>
    <row r="22" spans="2:18" ht="15.75">
      <c r="B22" s="9">
        <v>10</v>
      </c>
      <c r="C22" s="10">
        <v>43762.563703703701</v>
      </c>
      <c r="D22" s="10">
        <v>43762.563703703701</v>
      </c>
      <c r="E22" s="18">
        <f t="shared" si="0"/>
        <v>0</v>
      </c>
      <c r="F22" s="19"/>
      <c r="G22" s="10">
        <v>43762.563703703701</v>
      </c>
      <c r="H22" s="10">
        <v>43762.563726851899</v>
      </c>
      <c r="I22" s="18">
        <f t="shared" si="1"/>
        <v>2.0000042393803596</v>
      </c>
      <c r="J22" s="31"/>
      <c r="L22" s="30">
        <v>11</v>
      </c>
      <c r="M22" s="10">
        <v>43762.568368055603</v>
      </c>
      <c r="N22" s="10">
        <v>43762.568391203698</v>
      </c>
      <c r="O22" s="37">
        <f t="shared" si="4"/>
        <v>1.9999954383820295</v>
      </c>
      <c r="P22" s="10">
        <v>43762.568402777797</v>
      </c>
      <c r="Q22" s="37">
        <f t="shared" si="3"/>
        <v>2.9999975580722094</v>
      </c>
    </row>
    <row r="23" spans="2:18" ht="15.75">
      <c r="B23" s="9">
        <v>11</v>
      </c>
      <c r="C23" s="10">
        <v>43762.563738425903</v>
      </c>
      <c r="D23" s="10">
        <v>43762.563750000001</v>
      </c>
      <c r="E23" s="18">
        <f t="shared" si="0"/>
        <v>1.0000021196901798</v>
      </c>
      <c r="F23" s="19"/>
      <c r="G23" s="10">
        <v>43762.563738425903</v>
      </c>
      <c r="H23" s="10">
        <v>43762.5637615741</v>
      </c>
      <c r="I23" s="18">
        <f t="shared" si="1"/>
        <v>2.0000042393803596</v>
      </c>
      <c r="J23" s="31"/>
      <c r="L23" s="30">
        <v>12</v>
      </c>
      <c r="M23" s="10">
        <v>43762.568518518499</v>
      </c>
      <c r="N23" s="10">
        <v>43762.568541666697</v>
      </c>
      <c r="O23" s="37">
        <f t="shared" si="4"/>
        <v>2.0000042393803596</v>
      </c>
      <c r="P23" s="10">
        <v>43762.568541666697</v>
      </c>
      <c r="Q23" s="37">
        <f t="shared" si="3"/>
        <v>2.0000042393803596</v>
      </c>
    </row>
    <row r="24" spans="2:18" ht="15.75">
      <c r="B24" s="9">
        <v>12</v>
      </c>
      <c r="C24" s="10">
        <v>43762.563773148097</v>
      </c>
      <c r="D24" s="10">
        <v>43762.563784722202</v>
      </c>
      <c r="E24" s="18">
        <f t="shared" si="0"/>
        <v>1.0000027483329177</v>
      </c>
      <c r="F24" s="19"/>
      <c r="G24" s="10">
        <v>43762.563773148097</v>
      </c>
      <c r="H24" s="10">
        <v>43762.563796296301</v>
      </c>
      <c r="I24" s="18">
        <f t="shared" si="1"/>
        <v>2.0000048680230975</v>
      </c>
      <c r="J24" s="31"/>
      <c r="L24" s="30">
        <v>13</v>
      </c>
      <c r="M24" s="10">
        <v>43762.568668981497</v>
      </c>
      <c r="N24" s="10">
        <v>43762.5686921296</v>
      </c>
      <c r="O24" s="37">
        <f t="shared" si="4"/>
        <v>1.9999960670247674</v>
      </c>
      <c r="P24" s="10">
        <v>43762.5686921296</v>
      </c>
      <c r="Q24" s="37">
        <f t="shared" si="3"/>
        <v>1.9999960670247674</v>
      </c>
    </row>
    <row r="25" spans="2:18" ht="15.75">
      <c r="B25" s="9">
        <v>13</v>
      </c>
      <c r="C25" s="10">
        <v>43762.5638078704</v>
      </c>
      <c r="D25" s="10">
        <v>43762.563819444404</v>
      </c>
      <c r="E25" s="18">
        <f t="shared" si="0"/>
        <v>0.99999394733458757</v>
      </c>
      <c r="F25" s="19"/>
      <c r="G25" s="10">
        <v>43762.5638078704</v>
      </c>
      <c r="H25" s="10">
        <v>43762.563831018502</v>
      </c>
      <c r="I25" s="18">
        <f t="shared" si="1"/>
        <v>1.9999960670247674</v>
      </c>
      <c r="J25" s="31"/>
      <c r="L25" s="30">
        <v>14</v>
      </c>
      <c r="M25" s="10">
        <v>43762.568796296298</v>
      </c>
      <c r="N25" s="10">
        <v>43762.568819444401</v>
      </c>
      <c r="O25" s="37">
        <f t="shared" si="4"/>
        <v>1.9999960670247674</v>
      </c>
      <c r="P25" s="10">
        <v>43762.568819444401</v>
      </c>
      <c r="Q25" s="37">
        <f t="shared" si="3"/>
        <v>1.9999960670247674</v>
      </c>
    </row>
    <row r="26" spans="2:18" ht="15.75">
      <c r="B26" s="9">
        <v>14</v>
      </c>
      <c r="C26" s="10">
        <v>43762.563842592601</v>
      </c>
      <c r="D26" s="10">
        <v>43762.563854166699</v>
      </c>
      <c r="E26" s="18">
        <f t="shared" si="0"/>
        <v>1.0000021196901798</v>
      </c>
      <c r="F26" s="19"/>
      <c r="G26" s="10">
        <v>43762.563842592601</v>
      </c>
      <c r="H26" s="10">
        <v>43762.563854166699</v>
      </c>
      <c r="I26" s="18">
        <f t="shared" si="1"/>
        <v>1.0000021196901798</v>
      </c>
      <c r="J26" s="31"/>
      <c r="L26" s="30">
        <v>15</v>
      </c>
      <c r="M26" s="10">
        <v>43762.568923611099</v>
      </c>
      <c r="N26" s="10">
        <v>43762.568935185198</v>
      </c>
      <c r="O26" s="37">
        <f t="shared" si="4"/>
        <v>1.0000021196901798</v>
      </c>
      <c r="P26" s="10">
        <v>43762.568935185198</v>
      </c>
      <c r="Q26" s="37">
        <f t="shared" si="3"/>
        <v>1.0000021196901798</v>
      </c>
    </row>
    <row r="27" spans="2:18" ht="15.75">
      <c r="B27" s="9">
        <v>15</v>
      </c>
      <c r="C27" s="10">
        <v>43762.563912037003</v>
      </c>
      <c r="D27" s="10">
        <v>43762.563912037003</v>
      </c>
      <c r="E27" s="18">
        <f t="shared" si="0"/>
        <v>0</v>
      </c>
      <c r="F27" s="19"/>
      <c r="G27" s="10">
        <v>43762.563912037003</v>
      </c>
      <c r="H27" s="10">
        <v>43762.563923611102</v>
      </c>
      <c r="I27" s="18">
        <f t="shared" si="1"/>
        <v>1.0000021196901798</v>
      </c>
      <c r="J27" s="31"/>
      <c r="L27" s="30">
        <v>16</v>
      </c>
      <c r="M27" s="10">
        <v>43762.569108796299</v>
      </c>
      <c r="N27" s="10">
        <v>43762.569131944401</v>
      </c>
      <c r="O27" s="37">
        <f t="shared" si="4"/>
        <v>1.9999960670247674</v>
      </c>
      <c r="P27" s="10">
        <v>43762.5691435185</v>
      </c>
      <c r="Q27" s="37">
        <f t="shared" si="3"/>
        <v>2.9999981867149472</v>
      </c>
    </row>
    <row r="28" spans="2:18" ht="15.75">
      <c r="B28" s="9">
        <v>16</v>
      </c>
      <c r="C28" s="10">
        <v>43762.563958333303</v>
      </c>
      <c r="D28" s="10">
        <v>43762.563958333303</v>
      </c>
      <c r="E28" s="18">
        <f t="shared" si="0"/>
        <v>0</v>
      </c>
      <c r="F28" s="19"/>
      <c r="G28" s="10">
        <v>43762.563958333303</v>
      </c>
      <c r="H28" s="10">
        <v>43762.563969907402</v>
      </c>
      <c r="I28" s="18">
        <f t="shared" si="1"/>
        <v>1.0000021196901798</v>
      </c>
      <c r="J28" s="31"/>
      <c r="L28" s="30">
        <v>17</v>
      </c>
      <c r="M28" s="10">
        <v>43762.569270833301</v>
      </c>
      <c r="N28" s="10">
        <v>43762.569282407399</v>
      </c>
      <c r="O28" s="37">
        <f t="shared" si="4"/>
        <v>1.0000021196901798</v>
      </c>
      <c r="P28" s="10">
        <v>43762.569293981498</v>
      </c>
      <c r="Q28" s="37">
        <f t="shared" si="3"/>
        <v>2.0000042393803596</v>
      </c>
    </row>
    <row r="29" spans="2:18" ht="15.75">
      <c r="B29" s="9">
        <v>17</v>
      </c>
      <c r="C29" s="10">
        <v>43762.564016203702</v>
      </c>
      <c r="D29" s="10">
        <v>43762.5640277778</v>
      </c>
      <c r="E29" s="18">
        <f t="shared" si="0"/>
        <v>1.0000021196901798</v>
      </c>
      <c r="F29" s="19"/>
      <c r="G29" s="10">
        <v>43762.564016203702</v>
      </c>
      <c r="H29" s="10">
        <v>43762.564039351899</v>
      </c>
      <c r="I29" s="18">
        <f t="shared" si="1"/>
        <v>2.0000042393803596</v>
      </c>
      <c r="J29" s="31"/>
      <c r="L29" s="30">
        <v>18</v>
      </c>
      <c r="M29" s="10">
        <v>43762.569386574098</v>
      </c>
      <c r="N29" s="10">
        <v>43762.5694097222</v>
      </c>
      <c r="O29" s="37">
        <f t="shared" si="4"/>
        <v>1.9999960670247674</v>
      </c>
      <c r="P29" s="10">
        <v>43762.569421296299</v>
      </c>
      <c r="Q29" s="37">
        <f t="shared" si="3"/>
        <v>2.9999981867149472</v>
      </c>
    </row>
    <row r="30" spans="2:18" ht="15.75">
      <c r="B30" s="9">
        <v>18</v>
      </c>
      <c r="C30" s="10">
        <v>43762.5640740741</v>
      </c>
      <c r="D30" s="10">
        <v>43762.564085648097</v>
      </c>
      <c r="E30" s="18">
        <f t="shared" si="0"/>
        <v>0.99999331869184971</v>
      </c>
      <c r="F30" s="19"/>
      <c r="G30" s="10">
        <v>43762.5640740741</v>
      </c>
      <c r="H30" s="10">
        <v>43762.564097222203</v>
      </c>
      <c r="I30" s="18">
        <f t="shared" si="1"/>
        <v>1.9999960670247674</v>
      </c>
      <c r="J30" s="31"/>
      <c r="L30" s="30">
        <v>19</v>
      </c>
      <c r="M30" s="10">
        <v>43762.569525462997</v>
      </c>
      <c r="N30" s="10">
        <v>43762.5695486111</v>
      </c>
      <c r="O30" s="37">
        <f t="shared" si="4"/>
        <v>1.9999960670247674</v>
      </c>
      <c r="P30" s="38">
        <v>43762.569826388899</v>
      </c>
      <c r="Q30" s="37">
        <f t="shared" si="3"/>
        <v>25.99999790545553</v>
      </c>
      <c r="R30" t="s">
        <v>69</v>
      </c>
    </row>
    <row r="31" spans="2:18" ht="15.75">
      <c r="B31" s="9">
        <v>19</v>
      </c>
      <c r="C31" s="10">
        <v>43762.564155092601</v>
      </c>
      <c r="D31" s="10">
        <v>43762.564155092601</v>
      </c>
      <c r="E31" s="18">
        <f t="shared" si="0"/>
        <v>0</v>
      </c>
      <c r="F31" s="19"/>
      <c r="G31" s="10">
        <v>43762.564155092601</v>
      </c>
      <c r="H31" s="10">
        <v>43762.5641666667</v>
      </c>
      <c r="I31" s="18">
        <f t="shared" si="1"/>
        <v>1.0000021196901798</v>
      </c>
      <c r="J31" s="31"/>
      <c r="L31" s="30">
        <v>20</v>
      </c>
      <c r="M31" s="10">
        <v>43762.570069444402</v>
      </c>
      <c r="N31" s="10">
        <v>43762.570092592599</v>
      </c>
      <c r="O31" s="37">
        <f t="shared" si="4"/>
        <v>2.0000042393803596</v>
      </c>
      <c r="P31" s="10">
        <v>43762.570104166698</v>
      </c>
      <c r="Q31" s="37">
        <f t="shared" si="3"/>
        <v>3.0000063590705395</v>
      </c>
    </row>
    <row r="32" spans="2:18" ht="15.75">
      <c r="B32" s="9">
        <v>20</v>
      </c>
      <c r="C32" s="10">
        <v>43762.564224537004</v>
      </c>
      <c r="D32" s="10">
        <v>43762.564224537004</v>
      </c>
      <c r="E32" s="18">
        <f t="shared" si="0"/>
        <v>0</v>
      </c>
      <c r="F32" s="19"/>
      <c r="G32" s="10">
        <v>43762.564224537004</v>
      </c>
      <c r="H32" s="10">
        <v>43762.564236111102</v>
      </c>
      <c r="I32" s="18">
        <f t="shared" si="1"/>
        <v>1.0000021196901798</v>
      </c>
      <c r="J32" s="31"/>
      <c r="L32" s="30" t="s">
        <v>60</v>
      </c>
      <c r="M32" s="31"/>
      <c r="N32" s="31"/>
      <c r="O32" s="39">
        <f>AVERAGE(O12:O31)</f>
        <v>1.6999990772455931</v>
      </c>
      <c r="P32" s="31"/>
      <c r="Q32" s="39">
        <f>AVERAGE(Q12:Q31)</f>
        <v>4.6499995782505721</v>
      </c>
    </row>
    <row r="33" spans="2:15">
      <c r="B33" s="11" t="s">
        <v>51</v>
      </c>
      <c r="C33" s="11"/>
      <c r="D33" s="12"/>
      <c r="E33" s="20">
        <f>AVERAGE(E13:E32)</f>
        <v>0.74999913806095719</v>
      </c>
      <c r="F33" s="20" t="e">
        <f>AVERAGE(F13:F32)</f>
        <v>#DIV/0!</v>
      </c>
      <c r="G33" s="11"/>
      <c r="H33" s="12"/>
      <c r="I33" s="33">
        <f>AVERAGE(I13:I32)</f>
        <v>1.400000547291711</v>
      </c>
      <c r="J33" s="33" t="e">
        <f>AVERAGE(J13:J32)</f>
        <v>#DIV/0!</v>
      </c>
    </row>
    <row r="36" spans="2:15" ht="15.75">
      <c r="B36" s="79" t="s">
        <v>70</v>
      </c>
      <c r="C36" s="79"/>
      <c r="D36" s="79"/>
      <c r="E36" s="79"/>
      <c r="F36" s="79"/>
      <c r="G36" s="79"/>
      <c r="H36" s="79"/>
      <c r="I36" s="79"/>
      <c r="L36" s="88" t="s">
        <v>71</v>
      </c>
      <c r="M36" s="88"/>
      <c r="N36" s="88"/>
      <c r="O36" s="88"/>
    </row>
    <row r="37" spans="2:15">
      <c r="B37" s="3" t="s">
        <v>20</v>
      </c>
      <c r="C37" s="13" t="s">
        <v>28</v>
      </c>
      <c r="D37" s="1" t="s">
        <v>62</v>
      </c>
      <c r="E37" s="80" t="s">
        <v>63</v>
      </c>
      <c r="F37" s="81"/>
      <c r="G37" s="21" t="s">
        <v>62</v>
      </c>
      <c r="H37" s="82" t="s">
        <v>64</v>
      </c>
      <c r="I37" s="83"/>
      <c r="L37" s="42" t="s">
        <v>27</v>
      </c>
      <c r="M37" s="13" t="s">
        <v>28</v>
      </c>
      <c r="N37" s="13" t="s">
        <v>29</v>
      </c>
      <c r="O37" s="13" t="s">
        <v>30</v>
      </c>
    </row>
    <row r="38" spans="2:15" ht="15.75">
      <c r="B38" s="3">
        <v>1</v>
      </c>
      <c r="C38" s="14">
        <v>43762.5764583333</v>
      </c>
      <c r="D38" s="5">
        <v>43762.5765046296</v>
      </c>
      <c r="E38" s="22"/>
      <c r="F38" s="5"/>
      <c r="G38" s="5"/>
      <c r="H38" s="23"/>
      <c r="I38" s="14"/>
      <c r="L38" s="42">
        <v>110</v>
      </c>
      <c r="M38" s="10">
        <v>43762.571296296301</v>
      </c>
      <c r="N38" s="5">
        <v>43762.571377314802</v>
      </c>
      <c r="O38" s="5">
        <v>43762.571377314802</v>
      </c>
    </row>
    <row r="39" spans="2:15" ht="15.75">
      <c r="B39" s="3">
        <v>2</v>
      </c>
      <c r="C39" s="14">
        <v>43762.576712962997</v>
      </c>
      <c r="D39" s="15">
        <v>43762.576747685198</v>
      </c>
      <c r="E39" s="24"/>
      <c r="F39" s="5"/>
      <c r="G39" s="15"/>
      <c r="H39" s="23"/>
      <c r="I39" s="14"/>
    </row>
    <row r="40" spans="2:15" ht="15.75">
      <c r="B40" s="3">
        <v>3</v>
      </c>
      <c r="C40" s="5">
        <v>43762.576932870397</v>
      </c>
      <c r="D40" s="5">
        <v>43762.576967592599</v>
      </c>
      <c r="E40" s="25"/>
      <c r="F40" s="26"/>
      <c r="G40" s="5"/>
      <c r="H40" s="25"/>
      <c r="I40" s="14"/>
    </row>
    <row r="41" spans="2:15" ht="15.75">
      <c r="B41" s="3">
        <v>4</v>
      </c>
      <c r="C41" s="5">
        <v>43762.577152777798</v>
      </c>
      <c r="D41" s="5">
        <v>43762.577187499999</v>
      </c>
      <c r="E41" s="5"/>
      <c r="F41" s="26"/>
      <c r="G41" s="5"/>
      <c r="H41" s="23"/>
      <c r="I41" s="14"/>
    </row>
    <row r="42" spans="2:15" ht="15.75">
      <c r="B42" s="3">
        <v>5</v>
      </c>
      <c r="C42" s="5">
        <v>43762.5774074074</v>
      </c>
      <c r="D42" s="5">
        <v>43762.577430555597</v>
      </c>
      <c r="E42" s="5"/>
      <c r="F42" s="26"/>
      <c r="G42" s="5"/>
      <c r="H42" s="23"/>
      <c r="I42" s="14"/>
    </row>
    <row r="43" spans="2:15" ht="15.75">
      <c r="B43" s="3">
        <v>6</v>
      </c>
      <c r="C43" s="5">
        <v>43762.577650462998</v>
      </c>
      <c r="D43" s="5">
        <v>43762.577685185199</v>
      </c>
      <c r="E43" s="5"/>
      <c r="F43" s="26"/>
      <c r="G43" s="5"/>
      <c r="H43" s="27"/>
      <c r="I43" s="14"/>
    </row>
    <row r="44" spans="2:15" ht="15.75">
      <c r="B44" s="3">
        <v>7</v>
      </c>
      <c r="C44" s="5">
        <v>43762.577847222201</v>
      </c>
      <c r="D44" s="5">
        <v>43762.577881944402</v>
      </c>
      <c r="E44" s="5"/>
      <c r="F44" s="26"/>
      <c r="G44" s="5"/>
      <c r="H44" s="23"/>
      <c r="I44" s="14"/>
    </row>
    <row r="45" spans="2:15" ht="15.75">
      <c r="B45" s="3">
        <v>8</v>
      </c>
      <c r="C45" s="5">
        <v>43762.578043981499</v>
      </c>
      <c r="D45" s="5">
        <v>43762.5780787037</v>
      </c>
      <c r="E45" s="5"/>
      <c r="F45" s="26"/>
      <c r="G45" s="5"/>
      <c r="H45" s="23"/>
      <c r="I45" s="14"/>
    </row>
    <row r="46" spans="2:15" ht="15.75">
      <c r="B46" s="3">
        <v>9</v>
      </c>
      <c r="C46" s="5">
        <v>43762.578287037002</v>
      </c>
      <c r="D46" s="5">
        <v>43762.578321759298</v>
      </c>
      <c r="E46" s="5"/>
      <c r="F46" s="26"/>
      <c r="G46" s="5"/>
      <c r="H46" s="23"/>
      <c r="I46" s="14"/>
    </row>
    <row r="47" spans="2:15" ht="15.75">
      <c r="B47" s="3">
        <v>10</v>
      </c>
      <c r="C47" s="5">
        <v>43762.578518518501</v>
      </c>
      <c r="D47" s="5">
        <v>43762.578553240703</v>
      </c>
      <c r="E47" s="5"/>
      <c r="F47" s="26"/>
      <c r="G47" s="5"/>
      <c r="H47" s="23"/>
      <c r="I47" s="14"/>
    </row>
    <row r="48" spans="2:15" ht="15.75">
      <c r="B48" s="3">
        <v>11</v>
      </c>
      <c r="C48" s="5">
        <v>43762.578761574099</v>
      </c>
      <c r="D48" s="5">
        <v>43762.5787962963</v>
      </c>
      <c r="E48" s="5"/>
      <c r="F48" s="26"/>
      <c r="G48" s="5"/>
      <c r="H48" s="23"/>
      <c r="I48" s="14"/>
    </row>
    <row r="49" spans="2:9" ht="15.75">
      <c r="B49" s="3">
        <v>12</v>
      </c>
      <c r="C49" s="5">
        <v>43762.579004629602</v>
      </c>
      <c r="D49" s="5">
        <v>43762.579050925902</v>
      </c>
      <c r="E49" s="5"/>
      <c r="F49" s="26"/>
      <c r="G49" s="5"/>
      <c r="H49" s="23"/>
      <c r="I49" s="14"/>
    </row>
    <row r="50" spans="2:9" ht="15.75">
      <c r="B50" s="3">
        <v>13</v>
      </c>
      <c r="C50" s="5">
        <v>43762.5792476852</v>
      </c>
      <c r="D50" s="5">
        <v>43762.579270833303</v>
      </c>
      <c r="E50" s="5"/>
      <c r="F50" s="26"/>
      <c r="G50" s="5"/>
      <c r="H50" s="28"/>
      <c r="I50" s="14"/>
    </row>
    <row r="51" spans="2:9" ht="15.75">
      <c r="B51" s="3">
        <v>14</v>
      </c>
      <c r="C51" s="5">
        <v>43762.579444444404</v>
      </c>
      <c r="D51" s="5">
        <v>43762.579479166699</v>
      </c>
      <c r="F51" s="26"/>
      <c r="G51" s="5"/>
      <c r="H51" s="28"/>
      <c r="I51" s="14"/>
    </row>
    <row r="52" spans="2:9" ht="15.75">
      <c r="B52" s="3">
        <v>15</v>
      </c>
      <c r="C52" s="5">
        <v>43762.579629629603</v>
      </c>
      <c r="D52" s="5">
        <v>43762.579675925903</v>
      </c>
      <c r="E52" s="5"/>
      <c r="F52" s="26"/>
      <c r="G52" s="5"/>
      <c r="H52" s="23"/>
      <c r="I52" s="14"/>
    </row>
    <row r="53" spans="2:9" ht="15.75">
      <c r="B53" s="3">
        <v>16</v>
      </c>
      <c r="C53" s="5">
        <v>43762.579837963</v>
      </c>
      <c r="D53" s="5">
        <v>43762.579872685201</v>
      </c>
      <c r="E53" s="5"/>
      <c r="F53" s="26"/>
      <c r="G53" s="5"/>
      <c r="H53" s="23"/>
      <c r="I53" s="14"/>
    </row>
    <row r="54" spans="2:9" ht="15.75">
      <c r="B54" s="3">
        <v>17</v>
      </c>
      <c r="C54" s="5">
        <v>43762.580034722203</v>
      </c>
      <c r="D54" s="5">
        <v>43762.580069444397</v>
      </c>
      <c r="E54" s="5"/>
      <c r="F54" s="26"/>
      <c r="G54" s="5"/>
      <c r="H54" s="23"/>
      <c r="I54" s="14"/>
    </row>
    <row r="55" spans="2:9" ht="15.75">
      <c r="B55" s="3">
        <v>18</v>
      </c>
      <c r="C55" s="5">
        <v>43762.5802430556</v>
      </c>
      <c r="D55" s="5">
        <v>43762.580277777801</v>
      </c>
      <c r="E55" s="5"/>
      <c r="F55" s="26"/>
      <c r="G55" s="5"/>
      <c r="H55" s="23"/>
      <c r="I55" s="14"/>
    </row>
    <row r="56" spans="2:9" ht="15.75">
      <c r="B56" s="3">
        <v>19</v>
      </c>
      <c r="C56" s="14">
        <v>43762.580428240697</v>
      </c>
      <c r="D56" s="5">
        <v>43762.580462963</v>
      </c>
      <c r="E56" s="5"/>
      <c r="F56" s="26"/>
      <c r="G56" s="5"/>
      <c r="H56" s="23"/>
      <c r="I56" s="14"/>
    </row>
    <row r="57" spans="2:9" ht="15.75">
      <c r="B57" s="3">
        <v>20</v>
      </c>
      <c r="C57" s="14">
        <v>43762.580625000002</v>
      </c>
      <c r="D57" s="5">
        <v>43762.580671296302</v>
      </c>
      <c r="F57" s="26"/>
      <c r="G57" s="5"/>
      <c r="H57" s="23"/>
      <c r="I57" s="14"/>
    </row>
    <row r="58" spans="2:9" ht="15.6" customHeight="1">
      <c r="B58" s="3">
        <v>21</v>
      </c>
      <c r="C58" s="15">
        <v>43762.580833333297</v>
      </c>
      <c r="D58" s="15">
        <v>43762.580879629597</v>
      </c>
      <c r="E58" s="29"/>
      <c r="F58" s="29"/>
      <c r="G58" s="15"/>
      <c r="H58" s="29"/>
      <c r="I58" s="29"/>
    </row>
    <row r="59" spans="2:9" ht="15.6" customHeight="1">
      <c r="B59" s="3">
        <v>22</v>
      </c>
      <c r="C59" s="15">
        <v>43762.581064814804</v>
      </c>
      <c r="D59" s="15">
        <v>43762.581099536997</v>
      </c>
      <c r="E59" s="29"/>
      <c r="F59" s="29"/>
      <c r="G59" s="15"/>
      <c r="H59" s="30"/>
      <c r="I59" s="29"/>
    </row>
    <row r="60" spans="2:9">
      <c r="B60" s="3">
        <v>23</v>
      </c>
      <c r="C60" s="5">
        <v>43762.581261574102</v>
      </c>
      <c r="D60" s="5">
        <v>43762.581296296303</v>
      </c>
      <c r="E60" s="31"/>
      <c r="F60" s="31"/>
      <c r="G60" s="5"/>
      <c r="H60" s="31"/>
      <c r="I60" s="31"/>
    </row>
    <row r="61" spans="2:9">
      <c r="B61" s="3">
        <v>24</v>
      </c>
      <c r="C61" s="5">
        <v>43762.581446759301</v>
      </c>
      <c r="D61" s="5">
        <v>43762.581481481502</v>
      </c>
      <c r="E61" s="31"/>
      <c r="F61" s="31"/>
      <c r="G61" s="5"/>
      <c r="H61" s="31"/>
      <c r="I61" s="31"/>
    </row>
    <row r="62" spans="2:9">
      <c r="B62" s="3">
        <v>25</v>
      </c>
      <c r="C62" s="5">
        <v>43762.581643518497</v>
      </c>
      <c r="D62" s="5">
        <v>43762.581678240698</v>
      </c>
      <c r="E62" s="13"/>
      <c r="F62" s="13"/>
      <c r="G62" s="5"/>
      <c r="H62" s="13"/>
      <c r="I62" s="13"/>
    </row>
    <row r="63" spans="2:9">
      <c r="B63" s="3">
        <v>26</v>
      </c>
      <c r="C63" s="5">
        <v>43762.581817129598</v>
      </c>
      <c r="D63" s="5">
        <v>43762.581851851799</v>
      </c>
      <c r="E63" s="13"/>
      <c r="F63" s="13"/>
      <c r="G63" s="5"/>
      <c r="H63" s="13"/>
      <c r="I63" s="13"/>
    </row>
    <row r="64" spans="2:9">
      <c r="B64" s="3">
        <v>27</v>
      </c>
      <c r="C64" s="5">
        <v>43762.582002314797</v>
      </c>
      <c r="D64" s="5">
        <v>43762.582037036998</v>
      </c>
      <c r="E64" s="5"/>
      <c r="F64" s="13"/>
      <c r="G64" s="5"/>
      <c r="H64" s="13"/>
      <c r="I64" s="13"/>
    </row>
    <row r="65" spans="2:9">
      <c r="B65" s="3">
        <v>28</v>
      </c>
      <c r="C65" s="5">
        <v>43762.582210648201</v>
      </c>
      <c r="D65" s="5">
        <v>43762.582245370402</v>
      </c>
      <c r="E65" s="13"/>
      <c r="F65" s="13"/>
      <c r="G65" s="5"/>
      <c r="H65" s="13"/>
      <c r="I65" s="13"/>
    </row>
    <row r="66" spans="2:9">
      <c r="B66" s="3">
        <v>29</v>
      </c>
      <c r="C66" s="5">
        <v>43762.582407407397</v>
      </c>
      <c r="D66" s="5">
        <v>43762.582442129598</v>
      </c>
      <c r="E66" s="13"/>
      <c r="F66" s="13"/>
      <c r="G66" s="5"/>
      <c r="H66" s="13"/>
      <c r="I66" s="13"/>
    </row>
    <row r="67" spans="2:9">
      <c r="B67" s="3">
        <v>30</v>
      </c>
      <c r="C67" s="5">
        <v>43762.582615740699</v>
      </c>
      <c r="D67" s="5">
        <v>43762.582650463002</v>
      </c>
      <c r="E67" s="13"/>
      <c r="F67" s="13"/>
      <c r="G67" s="5"/>
      <c r="H67" s="13"/>
      <c r="I67" s="13"/>
    </row>
    <row r="68" spans="2:9">
      <c r="B68" s="3">
        <v>31</v>
      </c>
      <c r="C68" s="5">
        <v>43762.582812499997</v>
      </c>
      <c r="D68" s="5">
        <v>43762.582858796297</v>
      </c>
      <c r="E68" s="13"/>
      <c r="F68" s="13"/>
      <c r="G68" s="5"/>
      <c r="H68" s="13"/>
      <c r="I68" s="13"/>
    </row>
    <row r="69" spans="2:9">
      <c r="B69" s="3">
        <v>32</v>
      </c>
      <c r="C69" s="5">
        <v>43762.583009259302</v>
      </c>
      <c r="D69" s="5">
        <v>43762.583055555602</v>
      </c>
      <c r="E69" s="13"/>
      <c r="F69" s="13"/>
      <c r="G69" s="5"/>
      <c r="H69" s="13"/>
      <c r="I69" s="13"/>
    </row>
    <row r="70" spans="2:9">
      <c r="B70" s="3">
        <v>33</v>
      </c>
      <c r="C70" s="5">
        <v>43762.5832407407</v>
      </c>
      <c r="D70" s="5">
        <v>43762.583275463003</v>
      </c>
      <c r="E70" s="13"/>
      <c r="F70" s="13"/>
      <c r="G70" s="5"/>
      <c r="H70" s="13"/>
      <c r="I70" s="13"/>
    </row>
    <row r="71" spans="2:9">
      <c r="B71" s="3">
        <v>34</v>
      </c>
      <c r="C71" s="5">
        <v>43762.583449074104</v>
      </c>
      <c r="D71" s="5">
        <v>43762.583495370403</v>
      </c>
      <c r="E71" s="13"/>
      <c r="F71" s="13"/>
      <c r="G71" s="5"/>
      <c r="H71" s="13"/>
      <c r="I71" s="13"/>
    </row>
    <row r="72" spans="2:9">
      <c r="B72" s="3">
        <v>35</v>
      </c>
      <c r="C72" s="5">
        <v>43762.583715277797</v>
      </c>
      <c r="D72" s="5">
        <v>43762.583749999998</v>
      </c>
      <c r="E72" s="13"/>
      <c r="F72" s="13"/>
      <c r="G72" s="5"/>
      <c r="H72" s="13"/>
      <c r="I72" s="13"/>
    </row>
    <row r="73" spans="2:9">
      <c r="B73" s="3">
        <v>36</v>
      </c>
      <c r="C73" s="5">
        <v>43762.583935185197</v>
      </c>
      <c r="D73" s="5">
        <v>43762.583969907399</v>
      </c>
      <c r="E73" s="13"/>
      <c r="F73" s="13"/>
      <c r="G73" s="5"/>
      <c r="H73" s="13"/>
      <c r="I73" s="13"/>
    </row>
    <row r="74" spans="2:9">
      <c r="B74" s="3">
        <v>37</v>
      </c>
      <c r="C74" s="5">
        <v>43762.584120370397</v>
      </c>
      <c r="D74" s="5">
        <v>43762.584166666697</v>
      </c>
      <c r="E74" s="13"/>
      <c r="F74" s="13"/>
      <c r="G74" s="5"/>
      <c r="H74" s="13"/>
      <c r="I74" s="13"/>
    </row>
    <row r="75" spans="2:9">
      <c r="B75" s="3">
        <v>38</v>
      </c>
      <c r="C75" s="5">
        <v>43762.584340277797</v>
      </c>
      <c r="D75" s="5">
        <v>43762.584374999999</v>
      </c>
      <c r="E75" s="13"/>
      <c r="F75" s="13"/>
      <c r="G75" s="5"/>
      <c r="H75" s="13"/>
      <c r="I75" s="13"/>
    </row>
    <row r="76" spans="2:9">
      <c r="B76" s="3">
        <v>39</v>
      </c>
      <c r="C76" s="5">
        <v>43762.584548611099</v>
      </c>
      <c r="D76" s="4">
        <v>43762.584594907399</v>
      </c>
      <c r="E76" s="13"/>
      <c r="F76" s="13"/>
      <c r="G76" s="4"/>
      <c r="H76" s="13"/>
      <c r="I76" s="13"/>
    </row>
    <row r="77" spans="2:9">
      <c r="B77" s="3">
        <v>40</v>
      </c>
      <c r="C77" s="5">
        <v>43762.584780092599</v>
      </c>
      <c r="D77" s="5">
        <v>43762.584826388898</v>
      </c>
      <c r="E77" s="13"/>
      <c r="F77" s="13"/>
      <c r="G77" s="5"/>
      <c r="H77" s="13"/>
      <c r="I77" s="13"/>
    </row>
    <row r="78" spans="2:9">
      <c r="B78" s="3">
        <v>41</v>
      </c>
      <c r="C78" s="5">
        <v>43762.584999999999</v>
      </c>
      <c r="D78" s="4">
        <v>43762.5850347222</v>
      </c>
      <c r="E78" s="5"/>
      <c r="F78" s="13"/>
      <c r="G78" s="4"/>
      <c r="H78" s="13"/>
      <c r="I78" s="13"/>
    </row>
    <row r="79" spans="2:9">
      <c r="B79" s="3">
        <v>42</v>
      </c>
      <c r="C79" s="5">
        <v>43762.585196759297</v>
      </c>
      <c r="D79" s="5">
        <v>43762.585231481498</v>
      </c>
      <c r="E79" s="13"/>
      <c r="F79" s="13"/>
      <c r="G79" s="5"/>
      <c r="H79" s="13"/>
      <c r="I79" s="13"/>
    </row>
    <row r="80" spans="2:9">
      <c r="B80" s="3">
        <v>43</v>
      </c>
      <c r="C80" s="5">
        <v>43762.585405092599</v>
      </c>
      <c r="D80" s="5">
        <v>43762.5854398148</v>
      </c>
      <c r="E80" s="13"/>
      <c r="F80" s="13"/>
      <c r="G80" s="5"/>
      <c r="H80" s="13"/>
      <c r="I80" s="13"/>
    </row>
    <row r="81" spans="2:9">
      <c r="B81" s="3">
        <v>44</v>
      </c>
      <c r="C81" s="5">
        <v>43762.585625</v>
      </c>
      <c r="D81" s="5">
        <v>43762.5856712963</v>
      </c>
      <c r="E81" s="13"/>
      <c r="F81" s="13"/>
      <c r="G81" s="5"/>
      <c r="H81" s="13"/>
      <c r="I81" s="13"/>
    </row>
    <row r="82" spans="2:9">
      <c r="B82" s="3">
        <v>45</v>
      </c>
      <c r="C82" s="5">
        <v>43762.585868055598</v>
      </c>
      <c r="D82" s="5">
        <v>43762.585902777799</v>
      </c>
      <c r="E82" s="13"/>
      <c r="F82" s="13"/>
      <c r="G82" s="5"/>
      <c r="H82" s="13"/>
      <c r="I82" s="13"/>
    </row>
    <row r="83" spans="2:9">
      <c r="B83" s="3">
        <v>46</v>
      </c>
      <c r="C83" s="5">
        <v>43762.586099537002</v>
      </c>
      <c r="D83" s="5">
        <v>43762.586134259298</v>
      </c>
      <c r="E83" s="13"/>
      <c r="F83" s="5"/>
      <c r="G83" s="5"/>
      <c r="H83" s="13"/>
      <c r="I83" s="13"/>
    </row>
    <row r="84" spans="2:9">
      <c r="B84" s="3">
        <v>47</v>
      </c>
      <c r="C84" s="5">
        <v>43762.5863425926</v>
      </c>
      <c r="D84" s="5">
        <v>43762.586377314801</v>
      </c>
      <c r="E84" s="13"/>
      <c r="F84" s="13"/>
      <c r="G84" s="5"/>
      <c r="H84" s="13"/>
      <c r="I84" s="13"/>
    </row>
    <row r="85" spans="2:9">
      <c r="B85" s="3">
        <v>48</v>
      </c>
      <c r="C85" s="5">
        <v>43762.586527777799</v>
      </c>
      <c r="D85" s="5">
        <v>43762.586562500001</v>
      </c>
      <c r="E85" s="13"/>
      <c r="F85" s="13"/>
      <c r="G85" s="5"/>
      <c r="H85" s="13"/>
      <c r="I85" s="13"/>
    </row>
    <row r="86" spans="2:9">
      <c r="B86" s="3">
        <v>49</v>
      </c>
      <c r="C86" s="5">
        <v>43762.586759259299</v>
      </c>
      <c r="D86" s="5">
        <v>43762.5867939815</v>
      </c>
      <c r="E86" s="13"/>
      <c r="F86" s="13"/>
      <c r="G86" s="5"/>
      <c r="H86" s="13"/>
      <c r="I86" s="13"/>
    </row>
    <row r="87" spans="2:9">
      <c r="B87" s="3">
        <v>50</v>
      </c>
      <c r="C87" s="5">
        <v>43762.586967592601</v>
      </c>
      <c r="D87" s="5">
        <v>43762.587002314802</v>
      </c>
      <c r="E87" s="13"/>
      <c r="F87" s="13"/>
      <c r="G87" s="5"/>
      <c r="H87" s="13"/>
      <c r="I87" s="13"/>
    </row>
  </sheetData>
  <sheetProtection formatCells="0" insertHyperlinks="0" autoFilter="0"/>
  <mergeCells count="12">
    <mergeCell ref="B2:G2"/>
    <mergeCell ref="I2:N2"/>
    <mergeCell ref="B10:J10"/>
    <mergeCell ref="L10:Q10"/>
    <mergeCell ref="C11:F11"/>
    <mergeCell ref="G11:J11"/>
    <mergeCell ref="E12:F12"/>
    <mergeCell ref="I12:J12"/>
    <mergeCell ref="B36:I36"/>
    <mergeCell ref="L36:O36"/>
    <mergeCell ref="E37:F37"/>
    <mergeCell ref="H37:I37"/>
  </mergeCells>
  <phoneticPr fontId="40" type="noConversion"/>
  <conditionalFormatting sqref="F4">
    <cfRule type="cellIs" dxfId="56" priority="19" operator="equal">
      <formula>"失败"</formula>
    </cfRule>
    <cfRule type="cellIs" dxfId="55" priority="20" operator="equal">
      <formula>"未通"</formula>
    </cfRule>
  </conditionalFormatting>
  <conditionalFormatting sqref="F6">
    <cfRule type="cellIs" dxfId="54" priority="11" operator="equal">
      <formula>"未通"</formula>
    </cfRule>
    <cfRule type="cellIs" dxfId="53" priority="12" operator="equal">
      <formula>"失败"</formula>
    </cfRule>
  </conditionalFormatting>
  <conditionalFormatting sqref="D48">
    <cfRule type="cellIs" dxfId="52" priority="15" operator="equal">
      <formula>"未通"</formula>
    </cfRule>
  </conditionalFormatting>
  <conditionalFormatting sqref="G48">
    <cfRule type="cellIs" dxfId="51" priority="6" operator="equal">
      <formula>"未通"</formula>
    </cfRule>
  </conditionalFormatting>
  <conditionalFormatting sqref="D50">
    <cfRule type="cellIs" dxfId="50" priority="10" operator="equal">
      <formula>"未通"</formula>
    </cfRule>
  </conditionalFormatting>
  <conditionalFormatting sqref="G50">
    <cfRule type="cellIs" dxfId="49" priority="5" operator="equal">
      <formula>"未通"</formula>
    </cfRule>
  </conditionalFormatting>
  <conditionalFormatting sqref="D52">
    <cfRule type="cellIs" dxfId="48" priority="14" operator="equal">
      <formula>"未通"</formula>
    </cfRule>
  </conditionalFormatting>
  <conditionalFormatting sqref="G52">
    <cfRule type="cellIs" dxfId="47" priority="2" operator="equal">
      <formula>"未通"</formula>
    </cfRule>
  </conditionalFormatting>
  <conditionalFormatting sqref="D54">
    <cfRule type="cellIs" dxfId="46" priority="13" operator="equal">
      <formula>"未通"</formula>
    </cfRule>
  </conditionalFormatting>
  <conditionalFormatting sqref="G54">
    <cfRule type="cellIs" dxfId="45" priority="1" operator="equal">
      <formula>"未通"</formula>
    </cfRule>
  </conditionalFormatting>
  <conditionalFormatting sqref="G57">
    <cfRule type="cellIs" dxfId="44" priority="4" operator="equal">
      <formula>"未通"</formula>
    </cfRule>
  </conditionalFormatting>
  <conditionalFormatting sqref="D4:D8">
    <cfRule type="cellIs" dxfId="43" priority="25" operator="equal">
      <formula>"未通"</formula>
    </cfRule>
    <cfRule type="cellIs" dxfId="42" priority="26" operator="equal">
      <formula>"失败"</formula>
    </cfRule>
  </conditionalFormatting>
  <conditionalFormatting sqref="D38:D39">
    <cfRule type="cellIs" dxfId="41" priority="16" operator="equal">
      <formula>"未通"</formula>
    </cfRule>
  </conditionalFormatting>
  <conditionalFormatting sqref="G38:G39">
    <cfRule type="cellIs" dxfId="40" priority="7" operator="equal">
      <formula>"未通"</formula>
    </cfRule>
    <cfRule type="cellIs" dxfId="39" priority="8" operator="equal">
      <formula>"未通"</formula>
    </cfRule>
  </conditionalFormatting>
  <conditionalFormatting sqref="L4:L8">
    <cfRule type="cellIs" dxfId="38" priority="23" operator="equal">
      <formula>"失败"</formula>
    </cfRule>
    <cfRule type="cellIs" dxfId="37" priority="24" operator="equal">
      <formula>"未通"</formula>
    </cfRule>
  </conditionalFormatting>
  <conditionalFormatting sqref="N4:N8">
    <cfRule type="cellIs" dxfId="36" priority="21" operator="equal">
      <formula>"失败"</formula>
    </cfRule>
    <cfRule type="cellIs" dxfId="35" priority="22" operator="equal">
      <formula>"未通"</formula>
    </cfRule>
  </conditionalFormatting>
  <conditionalFormatting sqref="E4:E8 F57 D57 C51:D51 F51:G51 F7 G4:G8">
    <cfRule type="cellIs" dxfId="34" priority="28" operator="equal">
      <formula>"未通"</formula>
    </cfRule>
  </conditionalFormatting>
  <conditionalFormatting sqref="E4:E8 F7 G4:G8">
    <cfRule type="cellIs" dxfId="33" priority="27" operator="equal">
      <formula>"失败"</formula>
    </cfRule>
  </conditionalFormatting>
  <conditionalFormatting sqref="B38:B39 B43 H38:I57 C38:F47 C49:F49 C48 E48:F48 C50 E50:F50 B53:F53 C52 E52:F52 C54 E54:F54 B58:B87 B55:F56 B57:C57">
    <cfRule type="cellIs" dxfId="32" priority="18" operator="equal">
      <formula>"未通"</formula>
    </cfRule>
  </conditionalFormatting>
  <conditionalFormatting sqref="C38:F39">
    <cfRule type="cellIs" dxfId="31" priority="17" operator="equal">
      <formula>"未通"</formula>
    </cfRule>
  </conditionalFormatting>
  <conditionalFormatting sqref="G38:G47 G49">
    <cfRule type="cellIs" dxfId="30" priority="9" operator="equal">
      <formula>"未通"</formula>
    </cfRule>
  </conditionalFormatting>
  <conditionalFormatting sqref="G53 G55:G56">
    <cfRule type="cellIs" dxfId="29" priority="3" operator="equal">
      <formula>"未通"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6"/>
  <dimension ref="B2:R87"/>
  <sheetViews>
    <sheetView topLeftCell="A5" workbookViewId="0">
      <selection activeCell="R15" sqref="R15"/>
    </sheetView>
  </sheetViews>
  <sheetFormatPr defaultColWidth="9" defaultRowHeight="13.5"/>
  <cols>
    <col min="3" max="3" width="12.46484375" customWidth="1"/>
    <col min="4" max="4" width="10.86328125" customWidth="1"/>
    <col min="5" max="6" width="10.46484375" customWidth="1"/>
    <col min="7" max="8" width="9.46484375" customWidth="1"/>
    <col min="10" max="11" width="9.46484375" customWidth="1"/>
    <col min="13" max="16" width="9.46484375" customWidth="1"/>
  </cols>
  <sheetData>
    <row r="2" spans="2:17">
      <c r="B2" s="73" t="s">
        <v>72</v>
      </c>
      <c r="C2" s="73"/>
      <c r="D2" s="73"/>
      <c r="E2" s="73"/>
      <c r="F2" s="73"/>
      <c r="G2" s="73"/>
      <c r="I2" s="73" t="s">
        <v>73</v>
      </c>
      <c r="J2" s="73"/>
      <c r="K2" s="73"/>
      <c r="L2" s="73"/>
      <c r="M2" s="73"/>
      <c r="N2" s="73"/>
    </row>
    <row r="3" spans="2:17">
      <c r="B3" s="1" t="s">
        <v>38</v>
      </c>
      <c r="C3" s="1" t="s">
        <v>39</v>
      </c>
      <c r="D3" s="2" t="s">
        <v>40</v>
      </c>
      <c r="E3" s="2" t="s">
        <v>41</v>
      </c>
      <c r="F3" s="17" t="s">
        <v>42</v>
      </c>
      <c r="G3" s="17" t="s">
        <v>41</v>
      </c>
      <c r="I3" s="1" t="s">
        <v>38</v>
      </c>
      <c r="J3" s="1" t="s">
        <v>39</v>
      </c>
      <c r="K3" s="21" t="s">
        <v>40</v>
      </c>
      <c r="L3" s="2" t="s">
        <v>41</v>
      </c>
      <c r="M3" s="1" t="s">
        <v>42</v>
      </c>
      <c r="N3" s="17" t="s">
        <v>41</v>
      </c>
    </row>
    <row r="4" spans="2:17">
      <c r="B4" s="3">
        <v>1</v>
      </c>
      <c r="C4" s="4">
        <v>43762.642974536997</v>
      </c>
      <c r="D4" s="5">
        <v>43762.643020833297</v>
      </c>
      <c r="E4" s="14" t="s">
        <v>43</v>
      </c>
      <c r="F4" s="14">
        <v>43762.643032407403</v>
      </c>
      <c r="G4" s="14" t="s">
        <v>43</v>
      </c>
      <c r="I4" s="3">
        <v>1</v>
      </c>
      <c r="J4" s="5">
        <v>43762.643541666701</v>
      </c>
      <c r="K4" s="5">
        <v>43762.643645833297</v>
      </c>
      <c r="L4" s="14" t="s">
        <v>43</v>
      </c>
      <c r="M4" s="5">
        <v>43762.643576388902</v>
      </c>
      <c r="N4" s="14" t="s">
        <v>43</v>
      </c>
    </row>
    <row r="5" spans="2:17">
      <c r="B5" s="3">
        <v>2</v>
      </c>
      <c r="C5" s="6">
        <v>43762.643043981501</v>
      </c>
      <c r="D5" s="5">
        <v>43762.643090277801</v>
      </c>
      <c r="E5" s="14" t="s">
        <v>43</v>
      </c>
      <c r="F5" s="6">
        <v>43762.643090277801</v>
      </c>
      <c r="G5" s="14" t="s">
        <v>43</v>
      </c>
      <c r="I5" s="3">
        <v>2</v>
      </c>
      <c r="J5" s="5">
        <v>43762.643668981502</v>
      </c>
      <c r="K5" s="5">
        <v>43762.643773148098</v>
      </c>
      <c r="L5" s="14" t="s">
        <v>43</v>
      </c>
      <c r="M5" s="5">
        <v>43762.643703703703</v>
      </c>
      <c r="N5" s="14" t="s">
        <v>43</v>
      </c>
    </row>
    <row r="6" spans="2:17">
      <c r="B6" s="3">
        <v>3</v>
      </c>
      <c r="C6" s="6">
        <v>43762.643101851798</v>
      </c>
      <c r="D6" s="5">
        <v>43762.643148148098</v>
      </c>
      <c r="E6" s="14" t="s">
        <v>43</v>
      </c>
      <c r="F6" s="5">
        <v>43762.643148148098</v>
      </c>
      <c r="G6" s="14" t="s">
        <v>43</v>
      </c>
      <c r="I6" s="3">
        <v>3</v>
      </c>
      <c r="J6" s="5">
        <v>43762.643796296303</v>
      </c>
      <c r="K6" s="5">
        <v>43762.643912036998</v>
      </c>
      <c r="L6" s="14" t="s">
        <v>43</v>
      </c>
      <c r="M6" s="5">
        <v>43762.643854166701</v>
      </c>
      <c r="N6" s="14" t="s">
        <v>43</v>
      </c>
    </row>
    <row r="7" spans="2:17">
      <c r="B7" s="3">
        <v>4</v>
      </c>
      <c r="C7" s="6">
        <v>43762.643159722204</v>
      </c>
      <c r="D7" s="5">
        <v>43762.643206018503</v>
      </c>
      <c r="E7" s="14" t="s">
        <v>43</v>
      </c>
      <c r="F7" s="14">
        <v>43762.643206018503</v>
      </c>
      <c r="G7" s="14" t="s">
        <v>43</v>
      </c>
      <c r="I7" s="3">
        <v>4</v>
      </c>
      <c r="J7" s="5">
        <v>43762.643923611096</v>
      </c>
      <c r="K7" s="5">
        <v>43762.644027777802</v>
      </c>
      <c r="L7" s="14" t="s">
        <v>43</v>
      </c>
      <c r="M7" s="5">
        <v>43762.643969907404</v>
      </c>
      <c r="N7" s="14" t="s">
        <v>43</v>
      </c>
    </row>
    <row r="8" spans="2:17">
      <c r="B8" s="3">
        <v>5</v>
      </c>
      <c r="C8" s="6">
        <v>43762.643229166701</v>
      </c>
      <c r="D8" s="5">
        <v>43762.643252314803</v>
      </c>
      <c r="E8" s="14" t="s">
        <v>43</v>
      </c>
      <c r="F8" s="5">
        <v>43762.643252314803</v>
      </c>
      <c r="G8" s="14" t="s">
        <v>43</v>
      </c>
      <c r="I8" s="3">
        <v>5</v>
      </c>
      <c r="J8" s="5">
        <v>43762.644050925897</v>
      </c>
      <c r="K8" s="5">
        <v>43762.644155092603</v>
      </c>
      <c r="L8" s="14" t="s">
        <v>43</v>
      </c>
      <c r="M8" s="5">
        <v>43762.644097222197</v>
      </c>
      <c r="N8" s="14" t="s">
        <v>43</v>
      </c>
    </row>
    <row r="10" spans="2:17" ht="15.75">
      <c r="B10" s="84" t="s">
        <v>74</v>
      </c>
      <c r="C10" s="84"/>
      <c r="D10" s="84"/>
      <c r="E10" s="84"/>
      <c r="F10" s="84"/>
      <c r="G10" s="84"/>
      <c r="H10" s="84"/>
      <c r="I10" s="84"/>
      <c r="J10" s="84"/>
      <c r="L10" s="85" t="s">
        <v>75</v>
      </c>
      <c r="M10" s="86"/>
      <c r="N10" s="86"/>
      <c r="O10" s="86"/>
      <c r="P10" s="86"/>
      <c r="Q10" s="87"/>
    </row>
    <row r="11" spans="2:17" ht="15.75">
      <c r="B11" s="7" t="s">
        <v>45</v>
      </c>
      <c r="C11" s="75" t="s">
        <v>14</v>
      </c>
      <c r="D11" s="75"/>
      <c r="E11" s="75"/>
      <c r="F11" s="75"/>
      <c r="G11" s="76" t="s">
        <v>46</v>
      </c>
      <c r="H11" s="77"/>
      <c r="I11" s="77"/>
      <c r="J11" s="78"/>
      <c r="L11" s="7" t="s">
        <v>38</v>
      </c>
      <c r="M11" s="24" t="s">
        <v>56</v>
      </c>
      <c r="N11" s="34" t="s">
        <v>57</v>
      </c>
      <c r="O11" s="35" t="s">
        <v>58</v>
      </c>
      <c r="P11" s="36" t="s">
        <v>59</v>
      </c>
      <c r="Q11" s="40" t="s">
        <v>58</v>
      </c>
    </row>
    <row r="12" spans="2:17">
      <c r="B12" s="8" t="s">
        <v>47</v>
      </c>
      <c r="C12" s="8" t="s">
        <v>48</v>
      </c>
      <c r="D12" s="8" t="s">
        <v>49</v>
      </c>
      <c r="E12" s="72" t="s">
        <v>50</v>
      </c>
      <c r="F12" s="72"/>
      <c r="G12" s="8" t="s">
        <v>48</v>
      </c>
      <c r="H12" s="8" t="s">
        <v>49</v>
      </c>
      <c r="I12" s="72" t="s">
        <v>50</v>
      </c>
      <c r="J12" s="72"/>
      <c r="L12" s="30">
        <v>1</v>
      </c>
      <c r="M12" s="5">
        <v>43762.6461921296</v>
      </c>
      <c r="N12" s="10">
        <v>43762.646215277797</v>
      </c>
      <c r="O12" s="37">
        <f>(N12-M12)*24*60*60</f>
        <v>2.0000042393803596</v>
      </c>
      <c r="P12" s="10">
        <v>43762.646215277797</v>
      </c>
      <c r="Q12" s="37">
        <f>(P12-M12)*24*60*60</f>
        <v>2.0000042393803596</v>
      </c>
    </row>
    <row r="13" spans="2:17" ht="15.75">
      <c r="B13" s="9">
        <v>1</v>
      </c>
      <c r="C13" s="10">
        <v>43762.644641203697</v>
      </c>
      <c r="D13" s="10">
        <v>43762.644652777803</v>
      </c>
      <c r="E13" s="18">
        <f t="shared" ref="E13:E32" si="0">(D13-C13)*24*60*60</f>
        <v>1.0000027483329177</v>
      </c>
      <c r="F13" s="19"/>
      <c r="G13" s="10">
        <v>43762.644641203697</v>
      </c>
      <c r="H13" s="10">
        <v>43762.644652777803</v>
      </c>
      <c r="I13" s="18">
        <f t="shared" ref="I13:I32" si="1">(H13-G13)*24*60*60</f>
        <v>1.0000027483329177</v>
      </c>
      <c r="J13" s="31"/>
      <c r="L13" s="30">
        <v>2</v>
      </c>
      <c r="M13" s="5">
        <v>43762.6463194444</v>
      </c>
      <c r="N13" s="10">
        <v>43762.646331018499</v>
      </c>
      <c r="O13" s="37">
        <f t="shared" ref="O13:O31" si="2">(N13-M13)*24*60*60</f>
        <v>1.0000021196901798</v>
      </c>
      <c r="P13" s="10">
        <v>43762.646342592598</v>
      </c>
      <c r="Q13" s="37">
        <f t="shared" ref="Q13:Q31" si="3">(P13-M13)*24*60*60</f>
        <v>2.0000042393803596</v>
      </c>
    </row>
    <row r="14" spans="2:17">
      <c r="B14" s="9">
        <v>2</v>
      </c>
      <c r="C14" s="10">
        <v>43762.644675925898</v>
      </c>
      <c r="D14" s="10">
        <v>43762.644687499997</v>
      </c>
      <c r="E14" s="18">
        <f t="shared" si="0"/>
        <v>1.0000021196901798</v>
      </c>
      <c r="F14" s="16"/>
      <c r="G14" s="10">
        <v>43762.644675925898</v>
      </c>
      <c r="H14" s="10">
        <v>43762.644699074102</v>
      </c>
      <c r="I14" s="18">
        <f t="shared" si="1"/>
        <v>2.0000048680230975</v>
      </c>
      <c r="J14" s="31"/>
      <c r="L14" s="30">
        <v>3</v>
      </c>
      <c r="M14" s="5">
        <v>43762.646446759303</v>
      </c>
      <c r="N14" s="10">
        <v>43762.646469907399</v>
      </c>
      <c r="O14" s="37">
        <f t="shared" si="2"/>
        <v>1.9999954383820295</v>
      </c>
      <c r="P14" s="10">
        <v>43762.646469907399</v>
      </c>
      <c r="Q14" s="37">
        <f t="shared" si="3"/>
        <v>1.9999954383820295</v>
      </c>
    </row>
    <row r="15" spans="2:17" ht="15.75">
      <c r="B15" s="9">
        <v>3</v>
      </c>
      <c r="C15" s="10">
        <v>43762.644722222198</v>
      </c>
      <c r="D15" s="10">
        <v>43762.644733796304</v>
      </c>
      <c r="E15" s="18">
        <f t="shared" si="0"/>
        <v>1.0000027483329177</v>
      </c>
      <c r="F15" s="19"/>
      <c r="G15" s="10">
        <v>43762.644722222198</v>
      </c>
      <c r="H15" s="10">
        <v>43762.644745370402</v>
      </c>
      <c r="I15" s="18">
        <f t="shared" si="1"/>
        <v>2.0000048680230975</v>
      </c>
      <c r="J15" s="31"/>
      <c r="L15" s="30">
        <v>4</v>
      </c>
      <c r="M15" s="5">
        <v>43762.646574074097</v>
      </c>
      <c r="N15" s="10">
        <v>43762.646585648101</v>
      </c>
      <c r="O15" s="37">
        <f t="shared" si="2"/>
        <v>0.99999394733458757</v>
      </c>
      <c r="P15" s="5">
        <v>43762.646597222199</v>
      </c>
      <c r="Q15" s="37">
        <f t="shared" si="3"/>
        <v>1.9999960670247674</v>
      </c>
    </row>
    <row r="16" spans="2:17" ht="15.75">
      <c r="B16" s="9">
        <v>4</v>
      </c>
      <c r="C16" s="10">
        <v>43762.644768518498</v>
      </c>
      <c r="D16" s="10">
        <v>43762.644791666702</v>
      </c>
      <c r="E16" s="18">
        <f t="shared" si="0"/>
        <v>2.0000048680230975</v>
      </c>
      <c r="F16" s="19"/>
      <c r="G16" s="10">
        <v>43762.644768518498</v>
      </c>
      <c r="H16" s="10">
        <v>43762.644791666702</v>
      </c>
      <c r="I16" s="18">
        <f t="shared" si="1"/>
        <v>2.0000048680230975</v>
      </c>
      <c r="J16" s="31"/>
      <c r="L16" s="30">
        <v>5</v>
      </c>
      <c r="M16" s="5">
        <v>43762.646712962996</v>
      </c>
      <c r="N16" s="10">
        <v>43762.646724537</v>
      </c>
      <c r="O16" s="37">
        <f t="shared" si="2"/>
        <v>0.99999394733458757</v>
      </c>
      <c r="P16" s="10">
        <v>43762.646736111099</v>
      </c>
      <c r="Q16" s="37">
        <f t="shared" si="3"/>
        <v>1.9999960670247674</v>
      </c>
    </row>
    <row r="17" spans="2:18" ht="15.75">
      <c r="B17" s="9">
        <v>5</v>
      </c>
      <c r="C17" s="10">
        <v>43762.644849536999</v>
      </c>
      <c r="D17" s="10">
        <v>43762.644861111097</v>
      </c>
      <c r="E17" s="18">
        <f t="shared" si="0"/>
        <v>1.0000021196901798</v>
      </c>
      <c r="F17" s="19"/>
      <c r="G17" s="10">
        <v>43762.644849536999</v>
      </c>
      <c r="H17" s="10">
        <v>43762.644861111097</v>
      </c>
      <c r="I17" s="18">
        <f t="shared" si="1"/>
        <v>1.0000021196901798</v>
      </c>
      <c r="J17" s="31"/>
      <c r="L17" s="32">
        <v>6</v>
      </c>
      <c r="M17" s="5">
        <v>43762.646840277797</v>
      </c>
      <c r="N17" s="10">
        <v>43762.6468634259</v>
      </c>
      <c r="O17" s="37">
        <f t="shared" si="2"/>
        <v>1.9999960670247674</v>
      </c>
      <c r="P17" s="38">
        <v>43762.647106481498</v>
      </c>
      <c r="Q17" s="37">
        <f t="shared" si="3"/>
        <v>22.999999718740582</v>
      </c>
      <c r="R17" t="s">
        <v>76</v>
      </c>
    </row>
    <row r="18" spans="2:18" ht="15.75">
      <c r="B18" s="9">
        <v>6</v>
      </c>
      <c r="C18" s="10">
        <v>43762.644895833299</v>
      </c>
      <c r="D18" s="10">
        <v>43762.644918981503</v>
      </c>
      <c r="E18" s="18">
        <f t="shared" si="0"/>
        <v>2.0000048680230975</v>
      </c>
      <c r="F18" s="19"/>
      <c r="G18" s="10">
        <v>43762.644895833299</v>
      </c>
      <c r="H18" s="10">
        <v>43762.644918981503</v>
      </c>
      <c r="I18" s="18">
        <f t="shared" si="1"/>
        <v>2.0000048680230975</v>
      </c>
      <c r="J18" s="31"/>
      <c r="L18" s="30">
        <v>7</v>
      </c>
      <c r="M18" s="5">
        <v>43762.648113425901</v>
      </c>
      <c r="N18" s="10">
        <v>43762.648125</v>
      </c>
      <c r="O18" s="37">
        <f t="shared" si="2"/>
        <v>1.0000021196901798</v>
      </c>
      <c r="P18" s="10">
        <v>43762.648136574098</v>
      </c>
      <c r="Q18" s="37">
        <f t="shared" si="3"/>
        <v>2.0000042393803596</v>
      </c>
    </row>
    <row r="19" spans="2:18" ht="15.75">
      <c r="B19" s="9">
        <v>7</v>
      </c>
      <c r="C19" s="10">
        <v>43762.644953703697</v>
      </c>
      <c r="D19" s="10">
        <v>43762.644965277803</v>
      </c>
      <c r="E19" s="18">
        <f t="shared" si="0"/>
        <v>1.0000027483329177</v>
      </c>
      <c r="F19" s="19"/>
      <c r="G19" s="10">
        <v>43762.644953703697</v>
      </c>
      <c r="H19" s="10">
        <v>43762.644965277803</v>
      </c>
      <c r="I19" s="18">
        <f t="shared" si="1"/>
        <v>1.0000027483329177</v>
      </c>
      <c r="J19" s="31"/>
      <c r="L19" s="30">
        <v>8</v>
      </c>
      <c r="M19" s="5">
        <v>43762.648240740702</v>
      </c>
      <c r="N19" s="10">
        <v>43762.648263888899</v>
      </c>
      <c r="O19" s="37">
        <f t="shared" si="2"/>
        <v>2.0000042393803596</v>
      </c>
      <c r="P19" s="10">
        <v>43762.648275462998</v>
      </c>
      <c r="Q19" s="37">
        <f t="shared" si="3"/>
        <v>3.0000063590705395</v>
      </c>
    </row>
    <row r="20" spans="2:18" ht="15.75">
      <c r="B20" s="9">
        <v>8</v>
      </c>
      <c r="C20" s="10">
        <v>43762.644999999997</v>
      </c>
      <c r="D20" s="10">
        <v>43762.644999999997</v>
      </c>
      <c r="E20" s="18">
        <f t="shared" si="0"/>
        <v>0</v>
      </c>
      <c r="F20" s="19"/>
      <c r="G20" s="10">
        <v>43762.644999999997</v>
      </c>
      <c r="H20" s="10">
        <v>43762.645011574103</v>
      </c>
      <c r="I20" s="18">
        <f t="shared" si="1"/>
        <v>1.0000027483329177</v>
      </c>
      <c r="J20" s="31"/>
      <c r="L20" s="30">
        <v>9</v>
      </c>
      <c r="M20" s="5">
        <v>43762.648379629602</v>
      </c>
      <c r="N20" s="10">
        <v>43762.648402777799</v>
      </c>
      <c r="O20" s="37">
        <f t="shared" si="2"/>
        <v>2.0000042393803596</v>
      </c>
      <c r="P20" s="10">
        <v>43762.648414351897</v>
      </c>
      <c r="Q20" s="37">
        <f t="shared" si="3"/>
        <v>3.0000063590705395</v>
      </c>
    </row>
    <row r="21" spans="2:18" ht="15.75">
      <c r="B21" s="9">
        <v>9</v>
      </c>
      <c r="C21" s="10">
        <v>43762.645034722198</v>
      </c>
      <c r="D21" s="10">
        <v>43762.645046296297</v>
      </c>
      <c r="E21" s="18">
        <f t="shared" si="0"/>
        <v>1.0000021196901798</v>
      </c>
      <c r="F21" s="19"/>
      <c r="G21" s="10">
        <v>43762.645034722198</v>
      </c>
      <c r="H21" s="10">
        <v>43762.645057870403</v>
      </c>
      <c r="I21" s="18">
        <f t="shared" si="1"/>
        <v>2.0000048680230975</v>
      </c>
      <c r="J21" s="31"/>
      <c r="L21" s="30">
        <v>10</v>
      </c>
      <c r="M21" s="5">
        <v>43762.648518518501</v>
      </c>
      <c r="N21" s="10">
        <v>43762.6485300926</v>
      </c>
      <c r="O21" s="37">
        <f t="shared" si="2"/>
        <v>1.0000021196901798</v>
      </c>
      <c r="P21" s="10">
        <v>43762.648541666698</v>
      </c>
      <c r="Q21" s="37">
        <f t="shared" si="3"/>
        <v>2.0000042393803596</v>
      </c>
    </row>
    <row r="22" spans="2:18" ht="15.75">
      <c r="B22" s="9">
        <v>10</v>
      </c>
      <c r="C22" s="10">
        <v>43762.645081018498</v>
      </c>
      <c r="D22" s="10">
        <v>43762.645092592596</v>
      </c>
      <c r="E22" s="18">
        <f t="shared" si="0"/>
        <v>1.0000021196901798</v>
      </c>
      <c r="F22" s="19"/>
      <c r="G22" s="10">
        <v>43762.645081018498</v>
      </c>
      <c r="H22" s="10">
        <v>43762.645092592596</v>
      </c>
      <c r="I22" s="18">
        <f t="shared" si="1"/>
        <v>1.0000021196901798</v>
      </c>
      <c r="J22" s="31"/>
      <c r="L22" s="30">
        <v>11</v>
      </c>
      <c r="M22" s="10">
        <v>43762.648634259298</v>
      </c>
      <c r="N22" s="10">
        <v>43762.648645833302</v>
      </c>
      <c r="O22" s="37">
        <f t="shared" si="2"/>
        <v>0.99999394733458757</v>
      </c>
      <c r="P22" s="10">
        <v>43762.648657407401</v>
      </c>
      <c r="Q22" s="37">
        <f t="shared" si="3"/>
        <v>1.9999960670247674</v>
      </c>
    </row>
    <row r="23" spans="2:18" ht="15.75">
      <c r="B23" s="9">
        <v>11</v>
      </c>
      <c r="C23" s="10">
        <v>43762.645138888904</v>
      </c>
      <c r="D23" s="10">
        <v>43762.645150463002</v>
      </c>
      <c r="E23" s="18">
        <f t="shared" si="0"/>
        <v>1.0000021196901798</v>
      </c>
      <c r="F23" s="19"/>
      <c r="G23" s="10">
        <v>43762.645138888904</v>
      </c>
      <c r="H23" s="10">
        <v>43762.645150463002</v>
      </c>
      <c r="I23" s="18">
        <f t="shared" si="1"/>
        <v>1.0000021196901798</v>
      </c>
      <c r="J23" s="31"/>
      <c r="L23" s="30">
        <v>12</v>
      </c>
      <c r="M23" s="10">
        <v>43762.64875</v>
      </c>
      <c r="N23" s="10">
        <v>43762.648761574099</v>
      </c>
      <c r="O23" s="37">
        <f t="shared" si="2"/>
        <v>1.0000021196901798</v>
      </c>
      <c r="P23" s="10">
        <v>43762.648784722202</v>
      </c>
      <c r="Q23" s="37">
        <f t="shared" si="3"/>
        <v>2.9999981867149472</v>
      </c>
    </row>
    <row r="24" spans="2:18" ht="15.75">
      <c r="B24" s="9">
        <v>12</v>
      </c>
      <c r="C24" s="10">
        <v>43762.645185185203</v>
      </c>
      <c r="D24" s="10">
        <v>43762.645196759302</v>
      </c>
      <c r="E24" s="18">
        <f t="shared" si="0"/>
        <v>1.0000021196901798</v>
      </c>
      <c r="F24" s="19"/>
      <c r="G24" s="10">
        <v>43762.645185185203</v>
      </c>
      <c r="H24" s="10">
        <v>43762.645196759302</v>
      </c>
      <c r="I24" s="18">
        <f t="shared" si="1"/>
        <v>1.0000021196901798</v>
      </c>
      <c r="J24" s="31"/>
      <c r="L24" s="30">
        <v>13</v>
      </c>
      <c r="M24" s="10">
        <v>43762.6488888889</v>
      </c>
      <c r="N24" s="10">
        <v>43762.648900462998</v>
      </c>
      <c r="O24" s="37">
        <f t="shared" si="2"/>
        <v>1.0000021196901798</v>
      </c>
      <c r="P24" s="10">
        <v>43762.648912037002</v>
      </c>
      <c r="Q24" s="37">
        <f t="shared" si="3"/>
        <v>1.9999960670247674</v>
      </c>
    </row>
    <row r="25" spans="2:18" ht="15.75">
      <c r="B25" s="9">
        <v>13</v>
      </c>
      <c r="C25" s="10">
        <v>43762.645219907397</v>
      </c>
      <c r="D25" s="10">
        <v>43762.645231481503</v>
      </c>
      <c r="E25" s="18">
        <f t="shared" si="0"/>
        <v>1.0000027483329177</v>
      </c>
      <c r="F25" s="19"/>
      <c r="G25" s="10">
        <v>43762.645219907397</v>
      </c>
      <c r="H25" s="10">
        <v>43762.645243055602</v>
      </c>
      <c r="I25" s="18">
        <f t="shared" si="1"/>
        <v>2.0000048680230975</v>
      </c>
      <c r="J25" s="31"/>
      <c r="L25" s="30">
        <v>14</v>
      </c>
      <c r="M25" s="10">
        <v>43762.649027777799</v>
      </c>
      <c r="N25" s="10">
        <v>43762.649050925902</v>
      </c>
      <c r="O25" s="37">
        <f t="shared" si="2"/>
        <v>1.9999960670247674</v>
      </c>
      <c r="P25" s="10">
        <v>43762.649062500001</v>
      </c>
      <c r="Q25" s="37">
        <f t="shared" si="3"/>
        <v>2.9999981867149472</v>
      </c>
    </row>
    <row r="26" spans="2:18" ht="15.75">
      <c r="B26" s="9">
        <v>14</v>
      </c>
      <c r="C26" s="10">
        <v>43762.645266203697</v>
      </c>
      <c r="D26" s="10">
        <v>43762.645277777803</v>
      </c>
      <c r="E26" s="18">
        <f t="shared" si="0"/>
        <v>1.0000027483329177</v>
      </c>
      <c r="F26" s="19"/>
      <c r="G26" s="10">
        <v>43762.645266203697</v>
      </c>
      <c r="H26" s="10">
        <v>43762.645289351902</v>
      </c>
      <c r="I26" s="18">
        <f t="shared" si="1"/>
        <v>2.0000048680230975</v>
      </c>
      <c r="J26" s="31"/>
      <c r="L26" s="30">
        <v>15</v>
      </c>
      <c r="M26" s="10">
        <v>43762.6491550926</v>
      </c>
      <c r="N26" s="10">
        <v>43762.649166666699</v>
      </c>
      <c r="O26" s="37">
        <f t="shared" si="2"/>
        <v>1.0000021196901798</v>
      </c>
      <c r="P26" s="10">
        <v>43762.649178240703</v>
      </c>
      <c r="Q26" s="37">
        <f t="shared" si="3"/>
        <v>1.9999960670247674</v>
      </c>
    </row>
    <row r="27" spans="2:18" ht="15.75">
      <c r="B27" s="9">
        <v>15</v>
      </c>
      <c r="C27" s="10">
        <v>43762.645324074103</v>
      </c>
      <c r="D27" s="10">
        <v>43762.645324074103</v>
      </c>
      <c r="E27" s="18">
        <f t="shared" si="0"/>
        <v>0</v>
      </c>
      <c r="F27" s="19"/>
      <c r="G27" s="10">
        <v>43762.645324074103</v>
      </c>
      <c r="H27" s="10">
        <v>43762.645335648202</v>
      </c>
      <c r="I27" s="18">
        <f t="shared" si="1"/>
        <v>1.0000021196901798</v>
      </c>
      <c r="J27" s="31"/>
      <c r="L27" s="30">
        <v>16</v>
      </c>
      <c r="M27" s="10">
        <v>43762.649305555598</v>
      </c>
      <c r="N27" s="10">
        <v>43762.649317129602</v>
      </c>
      <c r="O27" s="37">
        <f t="shared" si="2"/>
        <v>0.99999394733458757</v>
      </c>
      <c r="P27" s="10">
        <v>43762.649328703701</v>
      </c>
      <c r="Q27" s="37">
        <f t="shared" si="3"/>
        <v>1.9999960670247674</v>
      </c>
    </row>
    <row r="28" spans="2:18" ht="15.75">
      <c r="B28" s="9">
        <v>16</v>
      </c>
      <c r="C28" s="10">
        <v>43762.6453819444</v>
      </c>
      <c r="D28" s="10">
        <v>43762.6453819444</v>
      </c>
      <c r="E28" s="18">
        <f t="shared" si="0"/>
        <v>0</v>
      </c>
      <c r="F28" s="19"/>
      <c r="G28" s="10">
        <v>43762.6453819444</v>
      </c>
      <c r="H28" s="10">
        <v>43762.645393518498</v>
      </c>
      <c r="I28" s="18">
        <f t="shared" si="1"/>
        <v>1.0000021196901798</v>
      </c>
      <c r="J28" s="31"/>
      <c r="L28" s="30">
        <v>17</v>
      </c>
      <c r="M28" s="10">
        <v>43762.649432870399</v>
      </c>
      <c r="N28" s="10">
        <v>43762.649444444403</v>
      </c>
      <c r="O28" s="37">
        <f t="shared" si="2"/>
        <v>0.99999394733458757</v>
      </c>
      <c r="P28" s="38">
        <v>43762.649687500001</v>
      </c>
      <c r="Q28" s="37">
        <f t="shared" si="3"/>
        <v>21.999997599050403</v>
      </c>
      <c r="R28" t="s">
        <v>76</v>
      </c>
    </row>
    <row r="29" spans="2:18" ht="15.75">
      <c r="B29" s="9">
        <v>17</v>
      </c>
      <c r="C29" s="10">
        <v>43762.645428240699</v>
      </c>
      <c r="D29" s="10">
        <v>43762.645439814798</v>
      </c>
      <c r="E29" s="18">
        <f t="shared" si="0"/>
        <v>1.0000021196901798</v>
      </c>
      <c r="F29" s="19"/>
      <c r="G29" s="10">
        <v>43762.645428240699</v>
      </c>
      <c r="H29" s="10">
        <v>43762.645439814798</v>
      </c>
      <c r="I29" s="18">
        <f t="shared" si="1"/>
        <v>1.0000021196901798</v>
      </c>
      <c r="J29" s="31"/>
      <c r="L29" s="30">
        <v>18</v>
      </c>
      <c r="M29" s="10">
        <v>43762.649837962999</v>
      </c>
      <c r="N29" s="10">
        <v>43762.649849537003</v>
      </c>
      <c r="O29" s="37">
        <f t="shared" si="2"/>
        <v>0.99999394733458757</v>
      </c>
      <c r="P29" s="10">
        <v>43762.649861111102</v>
      </c>
      <c r="Q29" s="37">
        <f t="shared" si="3"/>
        <v>1.9999960670247674</v>
      </c>
    </row>
    <row r="30" spans="2:18" ht="15.75">
      <c r="B30" s="9">
        <v>18</v>
      </c>
      <c r="C30" s="10">
        <v>43762.645486111098</v>
      </c>
      <c r="D30" s="10">
        <v>43762.645497685196</v>
      </c>
      <c r="E30" s="18">
        <f t="shared" si="0"/>
        <v>1.0000021196901798</v>
      </c>
      <c r="F30" s="19"/>
      <c r="G30" s="10">
        <v>43762.645486111098</v>
      </c>
      <c r="H30" s="10">
        <v>43762.645509259302</v>
      </c>
      <c r="I30" s="18">
        <f t="shared" si="1"/>
        <v>2.0000048680230975</v>
      </c>
      <c r="J30" s="31"/>
      <c r="L30" s="30">
        <v>19</v>
      </c>
      <c r="M30" s="10">
        <v>43762.649976851899</v>
      </c>
      <c r="N30" s="10">
        <v>43762.65</v>
      </c>
      <c r="O30" s="37">
        <f t="shared" si="2"/>
        <v>1.9999960670247674</v>
      </c>
      <c r="P30" s="10">
        <v>43762.6500115741</v>
      </c>
      <c r="Q30" s="37">
        <f t="shared" si="3"/>
        <v>2.9999981867149472</v>
      </c>
    </row>
    <row r="31" spans="2:18" ht="15.75">
      <c r="B31" s="9">
        <v>19</v>
      </c>
      <c r="C31" s="10">
        <v>43762.645578703698</v>
      </c>
      <c r="D31" s="10">
        <v>43762.645590277803</v>
      </c>
      <c r="E31" s="18">
        <f t="shared" si="0"/>
        <v>1.0000027483329177</v>
      </c>
      <c r="F31" s="19"/>
      <c r="G31" s="10">
        <v>43762.645578703698</v>
      </c>
      <c r="H31" s="10">
        <v>43762.645590277803</v>
      </c>
      <c r="I31" s="18">
        <f t="shared" si="1"/>
        <v>1.0000027483329177</v>
      </c>
      <c r="J31" s="31"/>
      <c r="L31" s="30">
        <v>20</v>
      </c>
      <c r="M31" s="10">
        <v>43762.6501041667</v>
      </c>
      <c r="N31" s="10">
        <v>43762.650115740696</v>
      </c>
      <c r="O31" s="37">
        <f t="shared" si="2"/>
        <v>0.99999331869184971</v>
      </c>
      <c r="P31" s="10">
        <v>43762.650127314802</v>
      </c>
      <c r="Q31" s="37">
        <f t="shared" si="3"/>
        <v>1.9999960670247674</v>
      </c>
    </row>
    <row r="32" spans="2:18" ht="15.75">
      <c r="B32" s="9">
        <v>20</v>
      </c>
      <c r="C32" s="10">
        <v>43762.645648148202</v>
      </c>
      <c r="D32" s="10">
        <v>43762.645659722199</v>
      </c>
      <c r="E32" s="18">
        <f t="shared" si="0"/>
        <v>0.99999331869184971</v>
      </c>
      <c r="F32" s="19"/>
      <c r="G32" s="10">
        <v>43762.645648148202</v>
      </c>
      <c r="H32" s="10">
        <v>43762.645671296297</v>
      </c>
      <c r="I32" s="18">
        <f t="shared" si="1"/>
        <v>1.9999954383820295</v>
      </c>
      <c r="J32" s="31"/>
      <c r="L32" s="30" t="s">
        <v>60</v>
      </c>
      <c r="M32" s="31"/>
      <c r="N32" s="31"/>
      <c r="O32" s="39">
        <f>AVERAGE(O12:O31)</f>
        <v>1.3499983039218932</v>
      </c>
      <c r="P32" s="31"/>
      <c r="Q32" s="39">
        <f>AVERAGE(Q12:Q31)</f>
        <v>4.2999992764089257</v>
      </c>
    </row>
    <row r="33" spans="2:10">
      <c r="B33" s="11" t="s">
        <v>51</v>
      </c>
      <c r="C33" s="11"/>
      <c r="D33" s="12"/>
      <c r="E33" s="20">
        <f>AVERAGE(E13:E32)</f>
        <v>0.95000182511284947</v>
      </c>
      <c r="F33" s="20" t="e">
        <f>AVERAGE(F13:F32)</f>
        <v>#DIV/0!</v>
      </c>
      <c r="G33" s="11"/>
      <c r="H33" s="12"/>
      <c r="I33" s="33">
        <f>AVERAGE(I13:I32)</f>
        <v>1.450003010686487</v>
      </c>
      <c r="J33" s="33" t="e">
        <f>AVERAGE(J13:J32)</f>
        <v>#DIV/0!</v>
      </c>
    </row>
    <row r="36" spans="2:10" ht="15.75">
      <c r="B36" s="79" t="s">
        <v>77</v>
      </c>
      <c r="C36" s="79"/>
      <c r="D36" s="79"/>
      <c r="E36" s="79"/>
      <c r="F36" s="79"/>
      <c r="G36" s="79"/>
      <c r="H36" s="79"/>
      <c r="I36" s="79"/>
    </row>
    <row r="37" spans="2:10">
      <c r="B37" s="3" t="s">
        <v>20</v>
      </c>
      <c r="C37" s="13" t="s">
        <v>28</v>
      </c>
      <c r="D37" s="1" t="s">
        <v>62</v>
      </c>
      <c r="E37" s="80" t="s">
        <v>63</v>
      </c>
      <c r="F37" s="81"/>
      <c r="G37" s="21" t="s">
        <v>62</v>
      </c>
      <c r="H37" s="82" t="s">
        <v>64</v>
      </c>
      <c r="I37" s="83"/>
    </row>
    <row r="38" spans="2:10" ht="15.75">
      <c r="B38" s="3">
        <v>1</v>
      </c>
      <c r="C38" s="14">
        <v>43762.659004629597</v>
      </c>
      <c r="D38" s="5">
        <v>43762.659039351798</v>
      </c>
      <c r="E38" s="22"/>
      <c r="F38" s="5"/>
      <c r="G38" s="5">
        <v>43762.659039351798</v>
      </c>
      <c r="H38" s="23"/>
      <c r="I38" s="14"/>
    </row>
    <row r="39" spans="2:10" ht="15.75">
      <c r="B39" s="3">
        <v>2</v>
      </c>
      <c r="C39" s="14">
        <v>43762.659247685202</v>
      </c>
      <c r="D39" s="15">
        <v>43762.659282407403</v>
      </c>
      <c r="E39" s="24"/>
      <c r="F39" s="5"/>
      <c r="G39" s="15">
        <v>43762.659282407403</v>
      </c>
      <c r="H39" s="23"/>
      <c r="I39" s="14"/>
    </row>
    <row r="40" spans="2:10" ht="15.75">
      <c r="B40" s="3">
        <v>3</v>
      </c>
      <c r="C40" s="5">
        <v>43762.659456018497</v>
      </c>
      <c r="D40" s="5">
        <v>43762.659490740698</v>
      </c>
      <c r="E40" s="25"/>
      <c r="F40" s="26"/>
      <c r="G40" s="5">
        <v>43762.659490740698</v>
      </c>
      <c r="H40" s="25"/>
      <c r="I40" s="14"/>
    </row>
    <row r="41" spans="2:10" ht="15.75">
      <c r="B41" s="3">
        <v>4</v>
      </c>
      <c r="C41" s="5">
        <v>43762.659687500003</v>
      </c>
      <c r="D41" s="5">
        <v>43762.659722222197</v>
      </c>
      <c r="E41" s="5"/>
      <c r="F41" s="26"/>
      <c r="G41" s="5">
        <v>43762.659722222197</v>
      </c>
      <c r="H41" s="23"/>
      <c r="I41" s="14"/>
    </row>
    <row r="42" spans="2:10" ht="15.75">
      <c r="B42" s="3">
        <v>5</v>
      </c>
      <c r="C42" s="5">
        <v>43762.659907407397</v>
      </c>
      <c r="D42" s="5">
        <v>43762.659953703696</v>
      </c>
      <c r="E42" s="5"/>
      <c r="F42" s="26"/>
      <c r="G42" s="5">
        <v>43762.659953703696</v>
      </c>
      <c r="H42" s="23"/>
      <c r="I42" s="14"/>
    </row>
    <row r="43" spans="2:10" ht="15.75">
      <c r="B43" s="3">
        <v>6</v>
      </c>
      <c r="C43" s="5">
        <v>43762.660150463002</v>
      </c>
      <c r="D43" s="5">
        <v>43762.660185185203</v>
      </c>
      <c r="E43" s="5"/>
      <c r="F43" s="26"/>
      <c r="G43" s="5">
        <v>43762.660185185203</v>
      </c>
      <c r="H43" s="27"/>
      <c r="I43" s="14"/>
    </row>
    <row r="44" spans="2:10" ht="15.75">
      <c r="B44" s="3">
        <v>7</v>
      </c>
      <c r="C44" s="5">
        <v>43762.660358796304</v>
      </c>
      <c r="D44" s="5">
        <v>43762.660393518498</v>
      </c>
      <c r="E44" s="5"/>
      <c r="F44" s="26"/>
      <c r="G44" s="5">
        <v>43762.660393518498</v>
      </c>
      <c r="H44" s="23"/>
      <c r="I44" s="14"/>
    </row>
    <row r="45" spans="2:10" ht="15.75">
      <c r="B45" s="3">
        <v>8</v>
      </c>
      <c r="C45" s="5">
        <v>43762.660601851901</v>
      </c>
      <c r="D45" s="5">
        <v>43762.660636574103</v>
      </c>
      <c r="E45" s="5"/>
      <c r="F45" s="26"/>
      <c r="G45" s="5">
        <v>43762.660636574103</v>
      </c>
      <c r="H45" s="23"/>
      <c r="I45" s="14"/>
    </row>
    <row r="46" spans="2:10" ht="15.75">
      <c r="B46" s="3">
        <v>9</v>
      </c>
      <c r="C46" s="5">
        <v>43762.660891203697</v>
      </c>
      <c r="D46" s="5">
        <v>43762.660925925898</v>
      </c>
      <c r="E46" s="5"/>
      <c r="F46" s="26"/>
      <c r="G46" s="5">
        <v>43762.660925925898</v>
      </c>
      <c r="H46" s="23"/>
      <c r="I46" s="14"/>
    </row>
    <row r="47" spans="2:10" ht="15.75">
      <c r="B47" s="3">
        <v>10</v>
      </c>
      <c r="C47" s="5">
        <v>43762.661087963003</v>
      </c>
      <c r="D47" s="5">
        <v>43762.661122685196</v>
      </c>
      <c r="E47" s="5"/>
      <c r="F47" s="26"/>
      <c r="G47" s="5">
        <v>43762.661122685196</v>
      </c>
      <c r="H47" s="23"/>
      <c r="I47" s="14"/>
    </row>
    <row r="48" spans="2:10" ht="15.75">
      <c r="B48" s="3">
        <v>11</v>
      </c>
      <c r="C48" s="5">
        <v>43762.661307870403</v>
      </c>
      <c r="D48" s="5">
        <v>43762.661342592597</v>
      </c>
      <c r="E48" s="5"/>
      <c r="F48" s="26"/>
      <c r="G48" s="5">
        <v>43762.661342592597</v>
      </c>
      <c r="H48" s="23"/>
      <c r="I48" s="14"/>
    </row>
    <row r="49" spans="2:9" ht="15.75">
      <c r="B49" s="3">
        <v>12</v>
      </c>
      <c r="C49" s="5">
        <v>43762.661539351902</v>
      </c>
      <c r="D49" s="5">
        <v>43762.661574074104</v>
      </c>
      <c r="E49" s="5"/>
      <c r="F49" s="26"/>
      <c r="G49" s="5">
        <v>43762.661574074104</v>
      </c>
      <c r="H49" s="23"/>
      <c r="I49" s="14"/>
    </row>
    <row r="50" spans="2:9" ht="15.75">
      <c r="B50" s="3">
        <v>13</v>
      </c>
      <c r="C50" s="5">
        <v>43762.661759259303</v>
      </c>
      <c r="D50" s="5">
        <v>43762.661805555603</v>
      </c>
      <c r="E50" s="5"/>
      <c r="F50" s="26"/>
      <c r="G50" s="5">
        <v>43762.661805555603</v>
      </c>
      <c r="H50" s="28"/>
      <c r="I50" s="14"/>
    </row>
    <row r="51" spans="2:9" ht="15.75">
      <c r="B51" s="3">
        <v>14</v>
      </c>
      <c r="C51" s="5">
        <v>43762.661979166704</v>
      </c>
      <c r="D51" s="5">
        <v>43762.662013888897</v>
      </c>
      <c r="F51" s="26"/>
      <c r="G51" s="5">
        <v>43762.662013888897</v>
      </c>
      <c r="H51" s="28"/>
      <c r="I51" s="14"/>
    </row>
    <row r="52" spans="2:9" ht="15.75">
      <c r="B52" s="3">
        <v>15</v>
      </c>
      <c r="C52" s="5">
        <v>43762.662349537</v>
      </c>
      <c r="D52" s="5">
        <v>43762.6623958333</v>
      </c>
      <c r="E52" s="5"/>
      <c r="F52" s="26"/>
      <c r="G52" s="5">
        <v>43762.6623958333</v>
      </c>
      <c r="H52" s="23"/>
      <c r="I52" s="14"/>
    </row>
    <row r="53" spans="2:9" ht="15.75">
      <c r="B53" s="3">
        <v>16</v>
      </c>
      <c r="C53" s="5">
        <v>43762.662592592598</v>
      </c>
      <c r="D53" s="5">
        <v>43762.662638888898</v>
      </c>
      <c r="E53" s="5"/>
      <c r="F53" s="26"/>
      <c r="G53" s="5">
        <v>43762.662638888898</v>
      </c>
      <c r="H53" s="23"/>
      <c r="I53" s="14"/>
    </row>
    <row r="54" spans="2:9" ht="15.75">
      <c r="B54" s="3">
        <v>17</v>
      </c>
      <c r="C54" s="5">
        <v>43762.662858796299</v>
      </c>
      <c r="D54" s="5">
        <v>43762.662881944401</v>
      </c>
      <c r="E54" s="5"/>
      <c r="F54" s="26"/>
      <c r="G54" s="5">
        <v>43762.662881944401</v>
      </c>
      <c r="H54" s="23"/>
      <c r="I54" s="14"/>
    </row>
    <row r="55" spans="2:9" ht="15.75">
      <c r="B55" s="3">
        <v>18</v>
      </c>
      <c r="C55" s="5">
        <v>43762.663055555597</v>
      </c>
      <c r="D55" s="5">
        <v>43762.663101851896</v>
      </c>
      <c r="E55" s="5"/>
      <c r="F55" s="26"/>
      <c r="G55" s="5">
        <v>43762.663101851896</v>
      </c>
      <c r="H55" s="23"/>
      <c r="I55" s="14"/>
    </row>
    <row r="56" spans="2:9" ht="15.75">
      <c r="B56" s="3">
        <v>19</v>
      </c>
      <c r="C56" s="14">
        <v>43762.663263888899</v>
      </c>
      <c r="D56" s="5">
        <v>43762.6632986111</v>
      </c>
      <c r="E56" s="5"/>
      <c r="F56" s="26"/>
      <c r="G56" s="5">
        <v>43762.6632986111</v>
      </c>
      <c r="H56" s="23"/>
      <c r="I56" s="14"/>
    </row>
    <row r="57" spans="2:9" ht="15.75">
      <c r="B57" s="3">
        <v>20</v>
      </c>
      <c r="C57" s="14">
        <v>43762.663506944402</v>
      </c>
      <c r="D57" s="5">
        <v>43762.663541666698</v>
      </c>
      <c r="F57" s="26"/>
      <c r="G57" s="5">
        <v>43762.663541666698</v>
      </c>
      <c r="H57" s="23"/>
      <c r="I57" s="14"/>
    </row>
    <row r="58" spans="2:9" ht="15.6" customHeight="1">
      <c r="B58" s="3">
        <v>21</v>
      </c>
      <c r="C58" s="15">
        <v>43762.663726851897</v>
      </c>
      <c r="D58" s="15">
        <v>43762.663773148102</v>
      </c>
      <c r="E58" s="29"/>
      <c r="F58" s="29"/>
      <c r="G58" s="15">
        <v>43762.6637962963</v>
      </c>
      <c r="H58" s="29"/>
      <c r="I58" s="29"/>
    </row>
    <row r="59" spans="2:9" ht="15.6" customHeight="1">
      <c r="B59" s="3">
        <v>22</v>
      </c>
      <c r="C59" s="15">
        <v>43762.663981481499</v>
      </c>
      <c r="D59" s="15">
        <v>43762.6640162037</v>
      </c>
      <c r="E59" s="29"/>
      <c r="F59" s="29"/>
      <c r="G59" s="15">
        <v>43762.6640162037</v>
      </c>
      <c r="H59" s="30"/>
      <c r="I59" s="29"/>
    </row>
    <row r="60" spans="2:9">
      <c r="B60" s="3">
        <v>23</v>
      </c>
      <c r="C60" s="5">
        <v>43762.664212962998</v>
      </c>
      <c r="D60" s="5">
        <v>43762.664247685199</v>
      </c>
      <c r="E60" s="31"/>
      <c r="F60" s="31"/>
      <c r="G60" s="5">
        <v>43762.664247685199</v>
      </c>
      <c r="H60" s="31"/>
      <c r="I60" s="31"/>
    </row>
    <row r="61" spans="2:9">
      <c r="B61" s="3">
        <v>24</v>
      </c>
      <c r="C61" s="5">
        <v>43762.664432870399</v>
      </c>
      <c r="D61" s="5">
        <v>43762.6644675926</v>
      </c>
      <c r="E61" s="31"/>
      <c r="F61" s="31"/>
      <c r="G61" s="5">
        <v>43762.6644675926</v>
      </c>
      <c r="H61" s="31"/>
      <c r="I61" s="31"/>
    </row>
    <row r="62" spans="2:9">
      <c r="B62" s="3">
        <v>25</v>
      </c>
      <c r="C62" s="5">
        <v>43762.664618055598</v>
      </c>
      <c r="D62" s="5">
        <v>43762.664675925902</v>
      </c>
      <c r="E62" s="13"/>
      <c r="F62" s="13"/>
      <c r="G62" s="5">
        <v>43762.664675925902</v>
      </c>
      <c r="H62" s="13"/>
      <c r="I62" s="13"/>
    </row>
    <row r="63" spans="2:9">
      <c r="B63" s="3">
        <v>26</v>
      </c>
      <c r="C63" s="5">
        <v>43762.664849537003</v>
      </c>
      <c r="D63" s="5">
        <v>43762.664884259299</v>
      </c>
      <c r="E63" s="13"/>
      <c r="F63" s="13"/>
      <c r="G63" s="5">
        <v>43762.664884259299</v>
      </c>
      <c r="H63" s="13"/>
      <c r="I63" s="13"/>
    </row>
    <row r="64" spans="2:9">
      <c r="B64" s="3">
        <v>27</v>
      </c>
      <c r="C64" s="5">
        <v>43762.665092592601</v>
      </c>
      <c r="D64" s="16">
        <v>43762.6651388889</v>
      </c>
      <c r="E64" s="5"/>
      <c r="F64" s="13"/>
      <c r="G64" s="16">
        <v>43762.6651388889</v>
      </c>
      <c r="H64" s="5"/>
      <c r="I64" s="13"/>
    </row>
    <row r="65" spans="2:11">
      <c r="B65" s="3">
        <v>28</v>
      </c>
      <c r="C65" s="5">
        <v>43762.6653703704</v>
      </c>
      <c r="D65" s="5">
        <v>43762.665405092601</v>
      </c>
      <c r="E65" s="13"/>
      <c r="F65" s="13"/>
      <c r="G65" s="5">
        <v>43762.665405092601</v>
      </c>
      <c r="H65" s="13"/>
      <c r="I65" s="13"/>
    </row>
    <row r="66" spans="2:11">
      <c r="B66" s="3">
        <v>29</v>
      </c>
      <c r="C66" s="5">
        <v>43762.665671296301</v>
      </c>
      <c r="D66" s="5">
        <v>43762.665717592601</v>
      </c>
      <c r="E66" s="13"/>
      <c r="F66" s="13"/>
      <c r="G66" s="5">
        <v>43762.665717592601</v>
      </c>
      <c r="H66" s="13"/>
      <c r="I66" s="13"/>
    </row>
    <row r="67" spans="2:11">
      <c r="B67" s="3">
        <v>30</v>
      </c>
      <c r="C67" s="5">
        <v>43762.665879629603</v>
      </c>
      <c r="D67" s="5">
        <v>43762.665914351899</v>
      </c>
      <c r="E67" s="13"/>
      <c r="F67" s="13"/>
      <c r="G67" s="5">
        <v>43762.665914351899</v>
      </c>
      <c r="H67" s="13"/>
      <c r="I67" s="13"/>
    </row>
    <row r="68" spans="2:11">
      <c r="B68" s="3">
        <v>31</v>
      </c>
      <c r="C68" s="5">
        <v>43762.666064814803</v>
      </c>
      <c r="D68" s="5">
        <v>43762.666122685201</v>
      </c>
      <c r="E68" s="13"/>
      <c r="F68" s="13"/>
      <c r="G68" s="5">
        <v>43762.666122685201</v>
      </c>
      <c r="H68" s="13"/>
      <c r="I68" s="13"/>
    </row>
    <row r="69" spans="2:11">
      <c r="B69" s="3">
        <v>32</v>
      </c>
      <c r="C69" s="5">
        <v>43762.666273148097</v>
      </c>
      <c r="D69" s="5">
        <v>43762.666319444397</v>
      </c>
      <c r="E69" s="13"/>
      <c r="F69" s="13"/>
      <c r="G69" s="5">
        <v>43762.666319444397</v>
      </c>
      <c r="H69" s="13"/>
      <c r="I69" s="13"/>
    </row>
    <row r="70" spans="2:11">
      <c r="B70" s="3">
        <v>33</v>
      </c>
      <c r="C70" s="5">
        <v>43762.6664930556</v>
      </c>
      <c r="D70" s="5">
        <v>43762.666539351798</v>
      </c>
      <c r="E70" s="13"/>
      <c r="F70" s="13"/>
      <c r="G70" s="5">
        <v>43762.666539351798</v>
      </c>
      <c r="H70" s="13"/>
      <c r="I70" s="13"/>
    </row>
    <row r="71" spans="2:11">
      <c r="B71" s="3">
        <v>34</v>
      </c>
      <c r="C71" s="5">
        <v>43762.666712963</v>
      </c>
      <c r="D71" s="5">
        <v>43762.666747685202</v>
      </c>
      <c r="E71" s="13"/>
      <c r="F71" s="13"/>
      <c r="G71" s="5">
        <v>43762.666747685202</v>
      </c>
      <c r="H71" s="13"/>
      <c r="I71" s="13"/>
      <c r="K71" s="5"/>
    </row>
    <row r="72" spans="2:11">
      <c r="B72" s="3">
        <v>35</v>
      </c>
      <c r="C72" s="5">
        <v>43762.666944444398</v>
      </c>
      <c r="D72" s="5">
        <v>43762.667002314804</v>
      </c>
      <c r="E72" s="13"/>
      <c r="F72" s="13"/>
      <c r="G72" s="5">
        <v>43762.667002314804</v>
      </c>
      <c r="H72" s="13"/>
      <c r="I72" s="13"/>
    </row>
    <row r="73" spans="2:11">
      <c r="B73" s="3">
        <v>36</v>
      </c>
      <c r="C73" s="5">
        <v>43762.667175925897</v>
      </c>
      <c r="D73" s="5">
        <v>43762.667210648098</v>
      </c>
      <c r="E73" s="13"/>
      <c r="F73" s="13"/>
      <c r="G73" s="5">
        <v>43762.667210648098</v>
      </c>
      <c r="H73" s="13"/>
      <c r="I73" s="13"/>
    </row>
    <row r="74" spans="2:11">
      <c r="B74" s="3">
        <v>37</v>
      </c>
      <c r="C74" s="5">
        <v>43762.667430555601</v>
      </c>
      <c r="D74" s="5">
        <v>43762.667465277802</v>
      </c>
      <c r="E74" s="13"/>
      <c r="F74" s="13"/>
      <c r="G74" s="5">
        <v>43762.667662036998</v>
      </c>
      <c r="H74" s="41" t="s">
        <v>78</v>
      </c>
      <c r="I74" s="13"/>
    </row>
    <row r="75" spans="2:11">
      <c r="B75" s="3">
        <v>38</v>
      </c>
      <c r="C75" s="5">
        <v>43762.667939814797</v>
      </c>
      <c r="D75" s="5">
        <v>43762.667974536998</v>
      </c>
      <c r="E75" s="13"/>
      <c r="F75" s="13"/>
      <c r="G75" s="5">
        <v>43762.667974536998</v>
      </c>
      <c r="H75" s="13"/>
      <c r="I75" s="13"/>
    </row>
    <row r="76" spans="2:11">
      <c r="B76" s="3">
        <v>39</v>
      </c>
      <c r="C76" s="5">
        <v>43762.668182870402</v>
      </c>
      <c r="D76" s="4">
        <v>43762.668217592603</v>
      </c>
      <c r="E76" s="13"/>
      <c r="F76" s="13"/>
      <c r="G76" s="4">
        <v>43762.668217592603</v>
      </c>
      <c r="H76" s="13"/>
      <c r="I76" s="13"/>
    </row>
    <row r="77" spans="2:11">
      <c r="B77" s="3">
        <v>40</v>
      </c>
      <c r="C77" s="5">
        <v>43762.668402777803</v>
      </c>
      <c r="D77" s="5">
        <v>43762.668437499997</v>
      </c>
      <c r="E77" s="13"/>
      <c r="F77" s="13"/>
      <c r="G77" s="5">
        <v>43762.668460648201</v>
      </c>
      <c r="H77" s="13"/>
      <c r="I77" s="13"/>
    </row>
    <row r="78" spans="2:11">
      <c r="B78" s="3">
        <v>41</v>
      </c>
      <c r="C78" s="5">
        <v>43762.668645833299</v>
      </c>
      <c r="D78" s="4">
        <v>43762.668680555602</v>
      </c>
      <c r="E78" s="5"/>
      <c r="F78" s="13"/>
      <c r="G78" s="4">
        <v>43762.668680555602</v>
      </c>
      <c r="H78" s="13"/>
      <c r="I78" s="13"/>
    </row>
    <row r="79" spans="2:11">
      <c r="B79" s="3">
        <v>42</v>
      </c>
      <c r="C79" s="5">
        <v>43762.668877314798</v>
      </c>
      <c r="D79" s="5">
        <v>43762.668912036999</v>
      </c>
      <c r="E79" s="13"/>
      <c r="F79" s="13"/>
      <c r="G79" s="5">
        <v>43762.668912036999</v>
      </c>
      <c r="H79" s="13"/>
      <c r="I79" s="13"/>
    </row>
    <row r="80" spans="2:11">
      <c r="B80" s="3">
        <v>43</v>
      </c>
      <c r="C80" s="5">
        <v>43762.669085648202</v>
      </c>
      <c r="D80" s="5">
        <v>43762.6691319444</v>
      </c>
      <c r="E80" s="13"/>
      <c r="F80" s="13"/>
      <c r="G80" s="5">
        <v>43762.6691319444</v>
      </c>
      <c r="H80" s="13"/>
      <c r="I80" s="13"/>
    </row>
    <row r="81" spans="2:9">
      <c r="B81" s="3">
        <v>44</v>
      </c>
      <c r="C81" s="5">
        <v>43762.669293981497</v>
      </c>
      <c r="D81" s="5">
        <v>43762.669328703698</v>
      </c>
      <c r="E81" s="13"/>
      <c r="F81" s="13"/>
      <c r="G81" s="5">
        <v>43762.669328703698</v>
      </c>
      <c r="H81" s="13"/>
      <c r="I81" s="13"/>
    </row>
    <row r="82" spans="2:9">
      <c r="B82" s="3">
        <v>45</v>
      </c>
      <c r="C82" s="5">
        <v>43762.6694907407</v>
      </c>
      <c r="D82" s="5">
        <v>43762.669525463003</v>
      </c>
      <c r="E82" s="13"/>
      <c r="F82" s="13"/>
      <c r="G82" s="5">
        <v>43762.669525463003</v>
      </c>
      <c r="H82" s="13"/>
      <c r="I82" s="13"/>
    </row>
    <row r="83" spans="2:9">
      <c r="B83" s="3">
        <v>46</v>
      </c>
      <c r="C83" s="5">
        <v>43762.669699074097</v>
      </c>
      <c r="D83" s="5">
        <v>43762.669733796298</v>
      </c>
      <c r="E83" s="13"/>
      <c r="F83" s="5"/>
      <c r="G83" s="5">
        <v>43762.669733796298</v>
      </c>
      <c r="H83" s="13"/>
      <c r="I83" s="13"/>
    </row>
    <row r="84" spans="2:9">
      <c r="B84" s="3">
        <v>47</v>
      </c>
      <c r="C84" s="5">
        <v>43762.669918981497</v>
      </c>
      <c r="D84" s="5">
        <v>43762.669953703698</v>
      </c>
      <c r="E84" s="13"/>
      <c r="F84" s="13"/>
      <c r="G84" s="5">
        <v>43762.669953703698</v>
      </c>
      <c r="H84" s="13"/>
      <c r="I84" s="13"/>
    </row>
    <row r="85" spans="2:9">
      <c r="B85" s="3">
        <v>48</v>
      </c>
      <c r="C85" s="5">
        <v>43762.670104166697</v>
      </c>
      <c r="D85" s="5">
        <v>43762.670138888898</v>
      </c>
      <c r="E85" s="13"/>
      <c r="F85" s="13"/>
      <c r="G85" s="5">
        <v>43762.670138888898</v>
      </c>
      <c r="H85" s="13"/>
      <c r="I85" s="13"/>
    </row>
    <row r="86" spans="2:9">
      <c r="B86" s="3">
        <v>49</v>
      </c>
      <c r="C86" s="5">
        <v>43762.670312499999</v>
      </c>
      <c r="D86" s="5">
        <v>43762.670358796298</v>
      </c>
      <c r="E86" s="13"/>
      <c r="F86" s="13"/>
      <c r="G86" s="5">
        <v>43762.670358796298</v>
      </c>
      <c r="H86" s="13"/>
      <c r="I86" s="13"/>
    </row>
    <row r="87" spans="2:9">
      <c r="B87" s="3">
        <v>50</v>
      </c>
      <c r="C87" s="5">
        <v>43762.670543981498</v>
      </c>
      <c r="D87" s="5">
        <v>43762.670578703699</v>
      </c>
      <c r="E87" s="13"/>
      <c r="F87" s="13"/>
      <c r="G87" s="5">
        <v>43762.670578703699</v>
      </c>
      <c r="H87" s="13"/>
      <c r="I87" s="13"/>
    </row>
  </sheetData>
  <sheetProtection formatCells="0" insertHyperlinks="0" autoFilter="0"/>
  <mergeCells count="11">
    <mergeCell ref="B2:G2"/>
    <mergeCell ref="I2:N2"/>
    <mergeCell ref="B10:J10"/>
    <mergeCell ref="L10:Q10"/>
    <mergeCell ref="C11:F11"/>
    <mergeCell ref="G11:J11"/>
    <mergeCell ref="E12:F12"/>
    <mergeCell ref="I12:J12"/>
    <mergeCell ref="B36:I36"/>
    <mergeCell ref="E37:F37"/>
    <mergeCell ref="H37:I37"/>
  </mergeCells>
  <phoneticPr fontId="40" type="noConversion"/>
  <conditionalFormatting sqref="F4">
    <cfRule type="cellIs" dxfId="28" priority="29" operator="equal">
      <formula>"失败"</formula>
    </cfRule>
    <cfRule type="cellIs" dxfId="27" priority="30" operator="equal">
      <formula>"未通"</formula>
    </cfRule>
  </conditionalFormatting>
  <conditionalFormatting sqref="F6">
    <cfRule type="cellIs" dxfId="26" priority="21" operator="equal">
      <formula>"未通"</formula>
    </cfRule>
    <cfRule type="cellIs" dxfId="25" priority="22" operator="equal">
      <formula>"失败"</formula>
    </cfRule>
  </conditionalFormatting>
  <conditionalFormatting sqref="F8">
    <cfRule type="cellIs" dxfId="24" priority="9" operator="equal">
      <formula>"未通"</formula>
    </cfRule>
    <cfRule type="cellIs" dxfId="23" priority="10" operator="equal">
      <formula>"失败"</formula>
    </cfRule>
  </conditionalFormatting>
  <conditionalFormatting sqref="D48">
    <cfRule type="cellIs" dxfId="22" priority="25" operator="equal">
      <formula>"未通"</formula>
    </cfRule>
  </conditionalFormatting>
  <conditionalFormatting sqref="G48">
    <cfRule type="cellIs" dxfId="21" priority="4" operator="equal">
      <formula>"未通"</formula>
    </cfRule>
  </conditionalFormatting>
  <conditionalFormatting sqref="D50">
    <cfRule type="cellIs" dxfId="20" priority="20" operator="equal">
      <formula>"未通"</formula>
    </cfRule>
  </conditionalFormatting>
  <conditionalFormatting sqref="G50">
    <cfRule type="cellIs" dxfId="19" priority="1" operator="equal">
      <formula>"未通"</formula>
    </cfRule>
  </conditionalFormatting>
  <conditionalFormatting sqref="D52">
    <cfRule type="cellIs" dxfId="18" priority="24" operator="equal">
      <formula>"未通"</formula>
    </cfRule>
  </conditionalFormatting>
  <conditionalFormatting sqref="G52">
    <cfRule type="cellIs" dxfId="17" priority="3" operator="equal">
      <formula>"未通"</formula>
    </cfRule>
  </conditionalFormatting>
  <conditionalFormatting sqref="D54">
    <cfRule type="cellIs" dxfId="16" priority="23" operator="equal">
      <formula>"未通"</formula>
    </cfRule>
  </conditionalFormatting>
  <conditionalFormatting sqref="G54">
    <cfRule type="cellIs" dxfId="15" priority="2" operator="equal">
      <formula>"未通"</formula>
    </cfRule>
  </conditionalFormatting>
  <conditionalFormatting sqref="D4:D8">
    <cfRule type="cellIs" dxfId="14" priority="35" operator="equal">
      <formula>"未通"</formula>
    </cfRule>
    <cfRule type="cellIs" dxfId="13" priority="36" operator="equal">
      <formula>"失败"</formula>
    </cfRule>
  </conditionalFormatting>
  <conditionalFormatting sqref="D38:D39">
    <cfRule type="cellIs" dxfId="12" priority="26" operator="equal">
      <formula>"未通"</formula>
    </cfRule>
  </conditionalFormatting>
  <conditionalFormatting sqref="G38:G39">
    <cfRule type="cellIs" dxfId="11" priority="5" operator="equal">
      <formula>"未通"</formula>
    </cfRule>
    <cfRule type="cellIs" dxfId="10" priority="6" operator="equal">
      <formula>"未通"</formula>
    </cfRule>
  </conditionalFormatting>
  <conditionalFormatting sqref="L4:L8">
    <cfRule type="cellIs" dxfId="9" priority="33" operator="equal">
      <formula>"失败"</formula>
    </cfRule>
    <cfRule type="cellIs" dxfId="8" priority="34" operator="equal">
      <formula>"未通"</formula>
    </cfRule>
  </conditionalFormatting>
  <conditionalFormatting sqref="N4:N8">
    <cfRule type="cellIs" dxfId="7" priority="31" operator="equal">
      <formula>"失败"</formula>
    </cfRule>
    <cfRule type="cellIs" dxfId="6" priority="32" operator="equal">
      <formula>"未通"</formula>
    </cfRule>
  </conditionalFormatting>
  <conditionalFormatting sqref="E4:E8 F57 D57 C51:D51 F51 F7 G4:G8">
    <cfRule type="cellIs" dxfId="5" priority="38" operator="equal">
      <formula>"未通"</formula>
    </cfRule>
  </conditionalFormatting>
  <conditionalFormatting sqref="E4:E8 F7 G4:G8">
    <cfRule type="cellIs" dxfId="4" priority="37" operator="equal">
      <formula>"失败"</formula>
    </cfRule>
  </conditionalFormatting>
  <conditionalFormatting sqref="B38:B39 B43 H38:I57 C38:F47 C49:F49 C48 E48:F48 C50 E50:F50 B53:F53 C52 E52:F52 C54 E54:F54 B58:B87 B55:F56 B57:C57">
    <cfRule type="cellIs" dxfId="3" priority="28" operator="equal">
      <formula>"未通"</formula>
    </cfRule>
  </conditionalFormatting>
  <conditionalFormatting sqref="C38:F39">
    <cfRule type="cellIs" dxfId="2" priority="27" operator="equal">
      <formula>"未通"</formula>
    </cfRule>
  </conditionalFormatting>
  <conditionalFormatting sqref="G38:G47 G49 G53 G55:G56">
    <cfRule type="cellIs" dxfId="1" priority="7" operator="equal">
      <formula>"未通"</formula>
    </cfRule>
  </conditionalFormatting>
  <conditionalFormatting sqref="G57 G51">
    <cfRule type="cellIs" dxfId="0" priority="8" operator="equal">
      <formula>"未通"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llowEditUser xmlns="https://web.wps.cn/et/2018/main" xmlns:s="http://schemas.openxmlformats.org/spreadsheetml/2006/main" hasInvisiblePropRange="0">
  <rangeList sheetStid="21" master=""/>
  <rangeList sheetStid="22" master=""/>
  <rangeList sheetStid="228" master=""/>
  <rangeList sheetStid="227" master=""/>
  <rangeList sheetStid="224" master=""/>
  <rangeList sheetStid="220" master=""/>
  <rangeList sheetStid="225" master=""/>
  <rangeList sheetStid="226" master=""/>
  <rangeList sheetStid="206" master=""/>
  <rangeList sheetStid="65" master=""/>
  <rangeList sheetStid="169" master=""/>
  <rangeList sheetStid="170" master=""/>
  <rangeList sheetStid="171" master=""/>
  <rangeList sheetStid="199" master=""/>
  <rangeList sheetStid="200" master=""/>
  <rangeList sheetStid="201" master=""/>
</allowEditUser>
</file>

<file path=customXml/item2.xml><?xml version="1.0" encoding="utf-8"?>
<pixelators xmlns="https://web.wps.cn/et/2018/main" xmlns:s="http://schemas.openxmlformats.org/spreadsheetml/2006/main">
  <pixelatorList sheetStid="21"/>
  <pixelatorList sheetStid="22"/>
  <pixelatorList sheetStid="228"/>
  <pixelatorList sheetStid="227"/>
  <pixelatorList sheetStid="224"/>
  <pixelatorList sheetStid="220"/>
  <pixelatorList sheetStid="225"/>
  <pixelatorList sheetStid="226"/>
  <pixelatorList sheetStid="206"/>
  <pixelatorList sheetStid="65"/>
  <pixelatorList sheetStid="169"/>
  <pixelatorList sheetStid="170"/>
  <pixelatorList sheetStid="171"/>
  <pixelatorList sheetStid="199"/>
  <pixelatorList sheetStid="200"/>
  <pixelatorList sheetStid="201"/>
  <pixelatorList sheetStid="229"/>
</pixelators>
</file>

<file path=customXml/item3.xml><?xml version="1.0" encoding="utf-8"?>
<comments xmlns="https://web.wps.cn/et/2018/main" xmlns:s="http://schemas.openxmlformats.org/spreadsheetml/2006/main"/>
</file>

<file path=customXml/item4.xml><?xml version="1.0" encoding="utf-8"?>
<woProps xmlns="https://web.wps.cn/et/2018/main" xmlns:s="http://schemas.openxmlformats.org/spreadsheetml/2006/main">
  <woSheetsProps>
    <woSheetProps sheetStid="21" interlineOnOff="0" interlineColor="0" isDbSheet="0"/>
    <woSheetProps sheetStid="22" interlineOnOff="0" interlineColor="0" isDbSheet="0"/>
    <woSheetProps sheetStid="228" interlineOnOff="0" interlineColor="0" isDbSheet="0"/>
    <woSheetProps sheetStid="227" interlineOnOff="0" interlineColor="0" isDbSheet="0"/>
    <woSheetProps sheetStid="224" interlineOnOff="0" interlineColor="0" isDbSheet="0"/>
    <woSheetProps sheetStid="220" interlineOnOff="0" interlineColor="0" isDbSheet="0"/>
    <woSheetProps sheetStid="225" interlineOnOff="0" interlineColor="0" isDbSheet="0"/>
    <woSheetProps sheetStid="226" interlineOnOff="0" interlineColor="0" isDbSheet="0"/>
    <woSheetProps sheetStid="206" interlineOnOff="0" interlineColor="0" isDbSheet="0"/>
    <woSheetProps sheetStid="65" interlineOnOff="0" interlineColor="0" isDbSheet="0"/>
    <woSheetProps sheetStid="169" interlineOnOff="0" interlineColor="0" isDbSheet="0"/>
    <woSheetProps sheetStid="170" interlineOnOff="0" interlineColor="0" isDbSheet="0"/>
    <woSheetProps sheetStid="171" interlineOnOff="0" interlineColor="0" isDbSheet="0"/>
    <woSheetProps sheetStid="199" interlineOnOff="0" interlineColor="0" isDbSheet="0"/>
    <woSheetProps sheetStid="200" interlineOnOff="0" interlineColor="0" isDbSheet="0"/>
    <woSheetProps sheetStid="201" interlineOnOff="0" interlineColor="0" isDbSheet="0"/>
  </woSheetsProps>
  <woBookProps>
    <bookSettings isFilterShared="1" isAutoUpdatePaused="0" filterType="conn" isMergeTasksAutoUpdate="0"/>
  </woBookProps>
</woProps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补充说明</vt:lpstr>
      <vt:lpstr>修改日志</vt:lpstr>
      <vt:lpstr>地铁运行时间记录</vt:lpstr>
      <vt:lpstr>4.5</vt:lpstr>
      <vt:lpstr>CM紧急呼叫</vt:lpstr>
      <vt:lpstr>CU紧急呼叫</vt:lpstr>
      <vt:lpstr>1014工业园片区山东科技大学</vt:lpstr>
      <vt:lpstr>1023苏州科技大</vt:lpstr>
      <vt:lpstr>1024苏州大学</vt:lpstr>
      <vt:lpstr>1024三香路</vt:lpstr>
    </vt:vector>
  </TitlesOfParts>
  <Company>Hyper-Telecom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 User</dc:creator>
  <cp:lastModifiedBy>林芳 彭</cp:lastModifiedBy>
  <cp:lastPrinted>2021-01-14T22:29:00Z</cp:lastPrinted>
  <dcterms:created xsi:type="dcterms:W3CDTF">2011-01-04T13:33:00Z</dcterms:created>
  <dcterms:modified xsi:type="dcterms:W3CDTF">2024-09-14T13:29:13Z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